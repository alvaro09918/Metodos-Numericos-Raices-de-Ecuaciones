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453459EC-7682-411D-AE68-3AB089CF00D7}" xr6:coauthVersionLast="47" xr6:coauthVersionMax="47" xr10:uidLastSave="{00000000-0000-0000-0000-000000000000}"/>
  <bookViews>
    <workbookView xWindow="-120" yWindow="-120" windowWidth="20730" windowHeight="11160" xr2:uid="{9323BA47-ECCF-4AC1-A362-0CA31ADCEDFE}"/>
  </bookViews>
  <sheets>
    <sheet name="BISECCION" sheetId="1" r:id="rId1"/>
    <sheet name="NEWTON" sheetId="2" r:id="rId2"/>
    <sheet name="SECANTE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9" i="4" l="1"/>
  <c r="E88" i="4"/>
  <c r="E87" i="4"/>
  <c r="D73" i="4"/>
  <c r="E73" i="4" s="1"/>
  <c r="D70" i="4"/>
  <c r="E70" i="4" s="1"/>
  <c r="D67" i="4"/>
  <c r="E67" i="4" s="1"/>
  <c r="E66" i="4"/>
  <c r="D66" i="4"/>
  <c r="D47" i="4"/>
  <c r="E65" i="4"/>
  <c r="E64" i="4"/>
  <c r="E27" i="4"/>
  <c r="E26" i="4"/>
  <c r="E46" i="4"/>
  <c r="E45" i="4"/>
  <c r="G58" i="1"/>
  <c r="D15" i="4"/>
  <c r="E14" i="4"/>
  <c r="G11" i="1"/>
  <c r="E13" i="4"/>
  <c r="F11" i="1"/>
  <c r="D74" i="4" l="1"/>
  <c r="D71" i="4"/>
  <c r="D68" i="4"/>
  <c r="E47" i="4"/>
  <c r="D28" i="4"/>
  <c r="E28" i="4" s="1"/>
  <c r="D29" i="4" s="1"/>
  <c r="D16" i="4"/>
  <c r="E15" i="4"/>
  <c r="E89" i="4" l="1"/>
  <c r="D90" i="4" s="1"/>
  <c r="E74" i="4"/>
  <c r="D75" i="4" s="1"/>
  <c r="E75" i="4" s="1"/>
  <c r="E71" i="4"/>
  <c r="D72" i="4" s="1"/>
  <c r="E72" i="4" s="1"/>
  <c r="E68" i="4"/>
  <c r="D69" i="4" s="1"/>
  <c r="E69" i="4" s="1"/>
  <c r="D48" i="4"/>
  <c r="E29" i="4"/>
  <c r="D30" i="4" s="1"/>
  <c r="E16" i="4"/>
  <c r="D17" i="4" s="1"/>
  <c r="E90" i="4" l="1"/>
  <c r="D91" i="4" s="1"/>
  <c r="E91" i="4" s="1"/>
  <c r="D92" i="4" s="1"/>
  <c r="E48" i="4"/>
  <c r="D49" i="4" s="1"/>
  <c r="E30" i="4"/>
  <c r="D31" i="4" s="1"/>
  <c r="E17" i="4"/>
  <c r="D18" i="4" s="1"/>
  <c r="E18" i="4" s="1"/>
  <c r="D19" i="4" s="1"/>
  <c r="E92" i="4" l="1"/>
  <c r="D93" i="4" s="1"/>
  <c r="E49" i="4"/>
  <c r="D50" i="4" s="1"/>
  <c r="E31" i="4"/>
  <c r="D32" i="4" s="1"/>
  <c r="E19" i="4"/>
  <c r="D20" i="4" s="1"/>
  <c r="E20" i="4" s="1"/>
  <c r="E93" i="4" l="1"/>
  <c r="D94" i="4" s="1"/>
  <c r="E94" i="4" s="1"/>
  <c r="D95" i="4" s="1"/>
  <c r="E95" i="4" s="1"/>
  <c r="D96" i="4" s="1"/>
  <c r="E50" i="4"/>
  <c r="D51" i="4" s="1"/>
  <c r="E51" i="4" s="1"/>
  <c r="E32" i="4"/>
  <c r="D33" i="4" s="1"/>
  <c r="E33" i="4" s="1"/>
  <c r="E96" i="4" l="1"/>
  <c r="D97" i="4" s="1"/>
  <c r="E97" i="4" s="1"/>
  <c r="D98" i="4" s="1"/>
  <c r="D52" i="4"/>
  <c r="E52" i="4" s="1"/>
  <c r="D53" i="4" s="1"/>
  <c r="E53" i="4" s="1"/>
  <c r="E98" i="4" l="1"/>
  <c r="D99" i="4" s="1"/>
  <c r="E99" i="4" l="1"/>
  <c r="D100" i="4" s="1"/>
  <c r="E100" i="4" s="1"/>
  <c r="D101" i="4" s="1"/>
  <c r="E101" i="4" s="1"/>
  <c r="B85" i="2"/>
  <c r="C85" i="2" s="1"/>
  <c r="D83" i="2"/>
  <c r="B84" i="2" s="1"/>
  <c r="G133" i="1"/>
  <c r="B66" i="2"/>
  <c r="C66" i="2" s="1"/>
  <c r="B67" i="2" s="1"/>
  <c r="D66" i="2"/>
  <c r="D64" i="2"/>
  <c r="C64" i="2"/>
  <c r="G113" i="1"/>
  <c r="C49" i="2"/>
  <c r="D49" i="2" s="1"/>
  <c r="C45" i="2"/>
  <c r="D45" i="2" s="1"/>
  <c r="C46" i="2" s="1"/>
  <c r="E45" i="2"/>
  <c r="C44" i="2"/>
  <c r="E43" i="2"/>
  <c r="D43" i="2"/>
  <c r="E25" i="2"/>
  <c r="D25" i="2"/>
  <c r="C26" i="2" s="1"/>
  <c r="C18" i="2"/>
  <c r="E17" i="2"/>
  <c r="D17" i="2"/>
  <c r="F145" i="1"/>
  <c r="G145" i="1"/>
  <c r="H145" i="1"/>
  <c r="I145" i="1"/>
  <c r="F144" i="1"/>
  <c r="G144" i="1"/>
  <c r="H144" i="1"/>
  <c r="I144" i="1"/>
  <c r="F143" i="1"/>
  <c r="G143" i="1"/>
  <c r="H143" i="1"/>
  <c r="I143" i="1"/>
  <c r="F142" i="1"/>
  <c r="G142" i="1"/>
  <c r="H142" i="1"/>
  <c r="I142" i="1"/>
  <c r="F141" i="1"/>
  <c r="G141" i="1"/>
  <c r="H141" i="1"/>
  <c r="I141" i="1"/>
  <c r="F140" i="1"/>
  <c r="G140" i="1"/>
  <c r="H140" i="1"/>
  <c r="I140" i="1"/>
  <c r="F139" i="1"/>
  <c r="G139" i="1"/>
  <c r="H139" i="1"/>
  <c r="I139" i="1"/>
  <c r="F138" i="1"/>
  <c r="G138" i="1"/>
  <c r="H138" i="1"/>
  <c r="I138" i="1"/>
  <c r="F137" i="1"/>
  <c r="G137" i="1"/>
  <c r="H137" i="1"/>
  <c r="I137" i="1"/>
  <c r="F136" i="1"/>
  <c r="G136" i="1"/>
  <c r="H136" i="1"/>
  <c r="I136" i="1"/>
  <c r="F135" i="1"/>
  <c r="G135" i="1"/>
  <c r="H135" i="1"/>
  <c r="I135" i="1"/>
  <c r="F134" i="1"/>
  <c r="G134" i="1"/>
  <c r="H134" i="1"/>
  <c r="I134" i="1"/>
  <c r="H133" i="1"/>
  <c r="I133" i="1"/>
  <c r="F133" i="1"/>
  <c r="F122" i="1"/>
  <c r="G122" i="1"/>
  <c r="H122" i="1"/>
  <c r="I122" i="1"/>
  <c r="F121" i="1"/>
  <c r="G121" i="1"/>
  <c r="H121" i="1"/>
  <c r="I121" i="1"/>
  <c r="F120" i="1"/>
  <c r="G120" i="1"/>
  <c r="H120" i="1"/>
  <c r="I120" i="1"/>
  <c r="F119" i="1"/>
  <c r="G119" i="1"/>
  <c r="H119" i="1"/>
  <c r="I119" i="1"/>
  <c r="F118" i="1"/>
  <c r="G118" i="1"/>
  <c r="H118" i="1"/>
  <c r="I118" i="1"/>
  <c r="F117" i="1"/>
  <c r="G117" i="1"/>
  <c r="H117" i="1"/>
  <c r="I117" i="1"/>
  <c r="F116" i="1"/>
  <c r="G116" i="1"/>
  <c r="H116" i="1"/>
  <c r="I116" i="1"/>
  <c r="F115" i="1"/>
  <c r="G115" i="1"/>
  <c r="H115" i="1"/>
  <c r="I115" i="1"/>
  <c r="G114" i="1"/>
  <c r="H114" i="1"/>
  <c r="I114" i="1"/>
  <c r="F114" i="1"/>
  <c r="H113" i="1"/>
  <c r="F113" i="1"/>
  <c r="I113" i="1" s="1"/>
  <c r="F108" i="1"/>
  <c r="G108" i="1"/>
  <c r="H108" i="1"/>
  <c r="I108" i="1"/>
  <c r="F107" i="1"/>
  <c r="G107" i="1"/>
  <c r="H107" i="1"/>
  <c r="I107" i="1"/>
  <c r="F106" i="1"/>
  <c r="G106" i="1"/>
  <c r="H106" i="1"/>
  <c r="I106" i="1"/>
  <c r="G105" i="1"/>
  <c r="H105" i="1"/>
  <c r="I105" i="1"/>
  <c r="F105" i="1"/>
  <c r="G104" i="1"/>
  <c r="H104" i="1"/>
  <c r="I104" i="1"/>
  <c r="F104" i="1"/>
  <c r="G103" i="1"/>
  <c r="H103" i="1"/>
  <c r="I103" i="1"/>
  <c r="F103" i="1"/>
  <c r="G102" i="1"/>
  <c r="H102" i="1"/>
  <c r="I102" i="1"/>
  <c r="F102" i="1"/>
  <c r="G101" i="1"/>
  <c r="H101" i="1"/>
  <c r="I101" i="1"/>
  <c r="F101" i="1"/>
  <c r="G100" i="1"/>
  <c r="H100" i="1"/>
  <c r="I100" i="1"/>
  <c r="F100" i="1"/>
  <c r="H99" i="1"/>
  <c r="G99" i="1"/>
  <c r="F99" i="1"/>
  <c r="I99" i="1" s="1"/>
  <c r="F94" i="1"/>
  <c r="I94" i="1" s="1"/>
  <c r="G94" i="1"/>
  <c r="H94" i="1"/>
  <c r="F93" i="1"/>
  <c r="G93" i="1"/>
  <c r="H93" i="1"/>
  <c r="I93" i="1"/>
  <c r="F92" i="1"/>
  <c r="G92" i="1"/>
  <c r="H92" i="1"/>
  <c r="I92" i="1"/>
  <c r="F91" i="1"/>
  <c r="G91" i="1"/>
  <c r="H91" i="1"/>
  <c r="I91" i="1"/>
  <c r="F90" i="1"/>
  <c r="G90" i="1"/>
  <c r="H90" i="1"/>
  <c r="I90" i="1"/>
  <c r="G89" i="1"/>
  <c r="H89" i="1"/>
  <c r="I89" i="1"/>
  <c r="F89" i="1"/>
  <c r="G88" i="1"/>
  <c r="H88" i="1"/>
  <c r="I88" i="1"/>
  <c r="F88" i="1"/>
  <c r="I87" i="1"/>
  <c r="G87" i="1"/>
  <c r="F87" i="1"/>
  <c r="H87" i="1"/>
  <c r="F86" i="1"/>
  <c r="G86" i="1"/>
  <c r="H86" i="1"/>
  <c r="I86" i="1"/>
  <c r="G85" i="1"/>
  <c r="H85" i="1"/>
  <c r="I85" i="1"/>
  <c r="F85" i="1"/>
  <c r="G84" i="1"/>
  <c r="H84" i="1"/>
  <c r="I84" i="1"/>
  <c r="F84" i="1"/>
  <c r="G83" i="1"/>
  <c r="H83" i="1"/>
  <c r="I83" i="1"/>
  <c r="F83" i="1"/>
  <c r="G82" i="1"/>
  <c r="H82" i="1"/>
  <c r="I82" i="1"/>
  <c r="F82" i="1"/>
  <c r="F81" i="1"/>
  <c r="H81" i="1"/>
  <c r="I81" i="1"/>
  <c r="G81" i="1"/>
  <c r="G68" i="1"/>
  <c r="H68" i="1"/>
  <c r="I68" i="1"/>
  <c r="F68" i="1"/>
  <c r="G67" i="1"/>
  <c r="H67" i="1"/>
  <c r="I67" i="1"/>
  <c r="F67" i="1"/>
  <c r="G66" i="1"/>
  <c r="H66" i="1"/>
  <c r="I66" i="1"/>
  <c r="F66" i="1"/>
  <c r="G65" i="1"/>
  <c r="H65" i="1"/>
  <c r="I65" i="1"/>
  <c r="F65" i="1"/>
  <c r="G64" i="1"/>
  <c r="H64" i="1"/>
  <c r="I64" i="1"/>
  <c r="F64" i="1"/>
  <c r="G63" i="1"/>
  <c r="H63" i="1"/>
  <c r="I63" i="1"/>
  <c r="F63" i="1"/>
  <c r="G62" i="1"/>
  <c r="H62" i="1"/>
  <c r="I62" i="1"/>
  <c r="F62" i="1"/>
  <c r="G61" i="1"/>
  <c r="H61" i="1"/>
  <c r="I61" i="1"/>
  <c r="F61" i="1"/>
  <c r="G60" i="1"/>
  <c r="H60" i="1"/>
  <c r="I60" i="1"/>
  <c r="F60" i="1"/>
  <c r="G59" i="1"/>
  <c r="H59" i="1"/>
  <c r="I59" i="1"/>
  <c r="F59" i="1"/>
  <c r="H58" i="1"/>
  <c r="I58" i="1"/>
  <c r="F58" i="1"/>
  <c r="G45" i="1"/>
  <c r="H45" i="1"/>
  <c r="I45" i="1"/>
  <c r="F45" i="1"/>
  <c r="G44" i="1"/>
  <c r="H44" i="1"/>
  <c r="I44" i="1"/>
  <c r="F44" i="1"/>
  <c r="G43" i="1"/>
  <c r="H43" i="1"/>
  <c r="I43" i="1"/>
  <c r="F43" i="1"/>
  <c r="G42" i="1"/>
  <c r="H42" i="1"/>
  <c r="I42" i="1"/>
  <c r="F42" i="1"/>
  <c r="G41" i="1"/>
  <c r="H41" i="1"/>
  <c r="I41" i="1"/>
  <c r="F41" i="1"/>
  <c r="G40" i="1"/>
  <c r="H40" i="1"/>
  <c r="I40" i="1"/>
  <c r="F40" i="1"/>
  <c r="G39" i="1"/>
  <c r="H39" i="1"/>
  <c r="I39" i="1"/>
  <c r="F39" i="1"/>
  <c r="G38" i="1"/>
  <c r="H38" i="1"/>
  <c r="I38" i="1"/>
  <c r="F38" i="1"/>
  <c r="G37" i="1"/>
  <c r="H37" i="1"/>
  <c r="I37" i="1"/>
  <c r="F37" i="1"/>
  <c r="G36" i="1"/>
  <c r="H36" i="1"/>
  <c r="I36" i="1"/>
  <c r="F36" i="1"/>
  <c r="G35" i="1"/>
  <c r="H35" i="1"/>
  <c r="I35" i="1"/>
  <c r="F35" i="1"/>
  <c r="G34" i="1"/>
  <c r="H34" i="1"/>
  <c r="I34" i="1"/>
  <c r="F34" i="1"/>
  <c r="G33" i="1"/>
  <c r="H33" i="1"/>
  <c r="I33" i="1"/>
  <c r="F33" i="1"/>
  <c r="G32" i="1"/>
  <c r="H32" i="1"/>
  <c r="I32" i="1"/>
  <c r="F32" i="1"/>
  <c r="I31" i="1"/>
  <c r="H31" i="1"/>
  <c r="G31" i="1"/>
  <c r="F31" i="1"/>
  <c r="G26" i="1"/>
  <c r="H26" i="1"/>
  <c r="F26" i="1"/>
  <c r="I26" i="1" s="1"/>
  <c r="G25" i="1"/>
  <c r="H25" i="1"/>
  <c r="F25" i="1"/>
  <c r="I25" i="1" s="1"/>
  <c r="G24" i="1"/>
  <c r="H24" i="1"/>
  <c r="F24" i="1"/>
  <c r="I24" i="1" s="1"/>
  <c r="F23" i="1"/>
  <c r="G23" i="1"/>
  <c r="H23" i="1"/>
  <c r="I23" i="1"/>
  <c r="G22" i="1"/>
  <c r="H22" i="1"/>
  <c r="F22" i="1"/>
  <c r="I22" i="1" s="1"/>
  <c r="G21" i="1"/>
  <c r="H21" i="1"/>
  <c r="F21" i="1"/>
  <c r="I21" i="1" s="1"/>
  <c r="G20" i="1"/>
  <c r="H20" i="1"/>
  <c r="F20" i="1"/>
  <c r="I20" i="1" s="1"/>
  <c r="G19" i="1"/>
  <c r="H19" i="1"/>
  <c r="F19" i="1"/>
  <c r="I19" i="1" s="1"/>
  <c r="G18" i="1"/>
  <c r="H18" i="1"/>
  <c r="F18" i="1"/>
  <c r="I18" i="1" s="1"/>
  <c r="G17" i="1"/>
  <c r="H17" i="1"/>
  <c r="F17" i="1"/>
  <c r="I17" i="1" s="1"/>
  <c r="G16" i="1"/>
  <c r="H16" i="1"/>
  <c r="F16" i="1"/>
  <c r="I16" i="1" s="1"/>
  <c r="G15" i="1"/>
  <c r="H15" i="1"/>
  <c r="F15" i="1"/>
  <c r="I15" i="1" s="1"/>
  <c r="G14" i="1"/>
  <c r="H14" i="1"/>
  <c r="F14" i="1"/>
  <c r="I14" i="1" s="1"/>
  <c r="G13" i="1"/>
  <c r="H13" i="1"/>
  <c r="F13" i="1"/>
  <c r="I13" i="1" s="1"/>
  <c r="G12" i="1"/>
  <c r="H12" i="1"/>
  <c r="I12" i="1"/>
  <c r="F12" i="1"/>
  <c r="H11" i="1"/>
  <c r="I11" i="1"/>
  <c r="D85" i="2" l="1"/>
  <c r="B86" i="2" s="1"/>
  <c r="D84" i="2"/>
  <c r="C84" i="2"/>
  <c r="C67" i="2"/>
  <c r="D67" i="2"/>
  <c r="B68" i="2" s="1"/>
  <c r="B65" i="2"/>
  <c r="C65" i="2"/>
  <c r="D65" i="2"/>
  <c r="E49" i="2"/>
  <c r="C50" i="2" s="1"/>
  <c r="D46" i="2"/>
  <c r="C47" i="2" s="1"/>
  <c r="E46" i="2"/>
  <c r="E44" i="2"/>
  <c r="D44" i="2"/>
  <c r="D26" i="2"/>
  <c r="C27" i="2" s="1"/>
  <c r="E26" i="2"/>
  <c r="D18" i="2"/>
  <c r="C19" i="2" s="1"/>
  <c r="E18" i="2"/>
  <c r="C86" i="2" l="1"/>
  <c r="D86" i="2"/>
  <c r="B87" i="2" s="1"/>
  <c r="D68" i="2"/>
  <c r="C68" i="2"/>
  <c r="B69" i="2" s="1"/>
  <c r="D50" i="2"/>
  <c r="C51" i="2" s="1"/>
  <c r="E50" i="2"/>
  <c r="E47" i="2"/>
  <c r="D47" i="2"/>
  <c r="C48" i="2" s="1"/>
  <c r="D19" i="2"/>
  <c r="E19" i="2"/>
  <c r="C20" i="2" s="1"/>
  <c r="E27" i="2"/>
  <c r="C28" i="2" s="1"/>
  <c r="D27" i="2"/>
  <c r="D87" i="2" l="1"/>
  <c r="C87" i="2"/>
  <c r="B88" i="2" s="1"/>
  <c r="C69" i="2"/>
  <c r="B70" i="2" s="1"/>
  <c r="D69" i="2"/>
  <c r="E51" i="2"/>
  <c r="D51" i="2"/>
  <c r="D48" i="2"/>
  <c r="E48" i="2"/>
  <c r="E28" i="2"/>
  <c r="D28" i="2"/>
  <c r="C29" i="2" s="1"/>
  <c r="D20" i="2"/>
  <c r="C21" i="2" s="1"/>
  <c r="E20" i="2"/>
  <c r="D88" i="2" l="1"/>
  <c r="C88" i="2"/>
  <c r="B89" i="2" s="1"/>
  <c r="D70" i="2"/>
  <c r="C70" i="2"/>
  <c r="E21" i="2"/>
  <c r="D21" i="2"/>
  <c r="D29" i="2"/>
  <c r="C30" i="2" s="1"/>
  <c r="E29" i="2"/>
  <c r="C89" i="2" l="1"/>
  <c r="D89" i="2"/>
  <c r="D30" i="2"/>
  <c r="C31" i="2" s="1"/>
  <c r="E30" i="2"/>
  <c r="E31" i="2" l="1"/>
  <c r="D31" i="2"/>
</calcChain>
</file>

<file path=xl/sharedStrings.xml><?xml version="1.0" encoding="utf-8"?>
<sst xmlns="http://schemas.openxmlformats.org/spreadsheetml/2006/main" count="106" uniqueCount="21">
  <si>
    <t>METODO DE LA BISECCION</t>
  </si>
  <si>
    <t>#</t>
  </si>
  <si>
    <t>a</t>
  </si>
  <si>
    <t>b</t>
  </si>
  <si>
    <t>f(a)</t>
  </si>
  <si>
    <t>f(b)</t>
  </si>
  <si>
    <t>tol</t>
  </si>
  <si>
    <t>c</t>
  </si>
  <si>
    <t>f(c)</t>
  </si>
  <si>
    <t>[3,4]</t>
  </si>
  <si>
    <t>[7,8]</t>
  </si>
  <si>
    <t>[5, 6]</t>
  </si>
  <si>
    <t>[-2,-1]</t>
  </si>
  <si>
    <t>[0, 1]</t>
  </si>
  <si>
    <t>[1,2]</t>
  </si>
  <si>
    <t>METODO DE Newton-Raphson</t>
  </si>
  <si>
    <t>X</t>
  </si>
  <si>
    <t>f(x)</t>
  </si>
  <si>
    <t>f'(x)</t>
  </si>
  <si>
    <t>x</t>
  </si>
  <si>
    <t>METODO DE LA SECANTE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</si>
</sst>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3" borderId="0" xfId="0" applyFill="1"/>
    <xf numFmtId="0" fontId="1" fillId="0" borderId="0" xfId="0" applyFont="1"/>
    <xf numFmtId="0" fontId="0" fillId="4" borderId="0" xfId="0" applyFill="1"/>
    <xf numFmtId="0" fontId="2" fillId="0" borderId="0" xfId="0" applyFont="1"/>
    <xf numFmtId="0" fontId="1" fillId="5" borderId="1" xfId="0" applyFont="1" applyFill="1" applyBorder="1" applyAlignment="1">
      <alignment horizontal="center"/>
    </xf>
    <xf numFmtId="0" fontId="0" fillId="5" borderId="0" xfId="0" applyFill="1"/>
    <xf numFmtId="0" fontId="0" fillId="6" borderId="1" xfId="0" applyFill="1" applyBorder="1" applyAlignment="1">
      <alignment horizontal="center"/>
    </xf>
    <xf numFmtId="0" fontId="3" fillId="0" borderId="0" xfId="0" applyFont="1"/>
    <xf numFmtId="0" fontId="1" fillId="6" borderId="0" xfId="0" applyFont="1" applyFill="1"/>
    <xf numFmtId="0" fontId="1" fillId="0" borderId="0" xfId="0" applyFont="1" applyFill="1"/>
    <xf numFmtId="0" fontId="0" fillId="0" borderId="0" xfId="0" applyFont="1" applyFill="1"/>
    <xf numFmtId="0" fontId="0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image" Target="../media/image5.png"/><Relationship Id="rId6" Type="http://schemas.openxmlformats.org/officeDocument/2006/relationships/image" Target="../media/image7.png"/><Relationship Id="rId5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2</xdr:row>
      <xdr:rowOff>19050</xdr:rowOff>
    </xdr:from>
    <xdr:to>
      <xdr:col>13</xdr:col>
      <xdr:colOff>172674</xdr:colOff>
      <xdr:row>6</xdr:row>
      <xdr:rowOff>104893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CDC3C0-68B2-92F7-41A1-2878FF463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925" y="400050"/>
          <a:ext cx="8773749" cy="8478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11</xdr:col>
      <xdr:colOff>734485</xdr:colOff>
      <xdr:row>52</xdr:row>
      <xdr:rowOff>76290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00B718-6A09-AD08-B771-BAD1B372B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9429750"/>
          <a:ext cx="7592485" cy="6477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12</xdr:col>
      <xdr:colOff>610749</xdr:colOff>
      <xdr:row>75</xdr:row>
      <xdr:rowOff>114396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C5F3E0D-A17E-FDDE-4783-AE546268C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13858875"/>
          <a:ext cx="8230749" cy="68589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</xdr:row>
      <xdr:rowOff>161925</xdr:rowOff>
    </xdr:from>
    <xdr:to>
      <xdr:col>12</xdr:col>
      <xdr:colOff>305906</xdr:colOff>
      <xdr:row>127</xdr:row>
      <xdr:rowOff>181057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70F0382-3A78-C97D-6AF9-D26B80860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" y="24069675"/>
          <a:ext cx="7925906" cy="590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4</xdr:col>
      <xdr:colOff>733744</xdr:colOff>
      <xdr:row>14</xdr:row>
      <xdr:rowOff>9606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843158-1E49-43DB-90A7-648A19326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714500"/>
          <a:ext cx="2286319" cy="581106"/>
        </a:xfrm>
        <a:prstGeom prst="rect">
          <a:avLst/>
        </a:prstGeom>
      </xdr:spPr>
    </xdr:pic>
    <xdr:clientData/>
  </xdr:twoCellAnchor>
  <xdr:twoCellAnchor editAs="oneCell">
    <xdr:from>
      <xdr:col>1</xdr:col>
      <xdr:colOff>752475</xdr:colOff>
      <xdr:row>4</xdr:row>
      <xdr:rowOff>171450</xdr:rowOff>
    </xdr:from>
    <xdr:to>
      <xdr:col>13</xdr:col>
      <xdr:colOff>353649</xdr:colOff>
      <xdr:row>9</xdr:row>
      <xdr:rowOff>66793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E03597-0E91-4F65-AC0A-8F5186C29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933450"/>
          <a:ext cx="8773749" cy="847843"/>
        </a:xfrm>
        <a:prstGeom prst="rect">
          <a:avLst/>
        </a:prstGeom>
      </xdr:spPr>
    </xdr:pic>
    <xdr:clientData/>
  </xdr:twoCellAnchor>
  <xdr:twoCellAnchor editAs="oneCell">
    <xdr:from>
      <xdr:col>1</xdr:col>
      <xdr:colOff>409575</xdr:colOff>
      <xdr:row>33</xdr:row>
      <xdr:rowOff>133350</xdr:rowOff>
    </xdr:from>
    <xdr:to>
      <xdr:col>11</xdr:col>
      <xdr:colOff>353485</xdr:colOff>
      <xdr:row>37</xdr:row>
      <xdr:rowOff>19140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4A338C1-FBF0-4496-9C8A-34839A1FE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1575" y="6467475"/>
          <a:ext cx="7592485" cy="6477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5</xdr:col>
      <xdr:colOff>314692</xdr:colOff>
      <xdr:row>40</xdr:row>
      <xdr:rowOff>142948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676CF18-531E-A6AE-B8FD-F9F726241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" y="7286625"/>
          <a:ext cx="2629267" cy="5239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11</xdr:col>
      <xdr:colOff>582174</xdr:colOff>
      <xdr:row>57</xdr:row>
      <xdr:rowOff>114396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81B9BF8-4DF2-4C21-874B-B8B028D7C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10334625"/>
          <a:ext cx="8230749" cy="685896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58</xdr:row>
      <xdr:rowOff>133350</xdr:rowOff>
    </xdr:from>
    <xdr:to>
      <xdr:col>6</xdr:col>
      <xdr:colOff>181515</xdr:colOff>
      <xdr:row>61</xdr:row>
      <xdr:rowOff>95324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370B658-8C6C-6B2B-CFC6-B252031FD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00" y="11229975"/>
          <a:ext cx="3867690" cy="53347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73</xdr:row>
      <xdr:rowOff>38100</xdr:rowOff>
    </xdr:from>
    <xdr:to>
      <xdr:col>11</xdr:col>
      <xdr:colOff>305906</xdr:colOff>
      <xdr:row>76</xdr:row>
      <xdr:rowOff>57232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9C9E6DB-647C-4E7B-851B-6CA704E34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0575" y="13992225"/>
          <a:ext cx="7925906" cy="5906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6</xdr:col>
      <xdr:colOff>219641</xdr:colOff>
      <xdr:row>80</xdr:row>
      <xdr:rowOff>28659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6B5B013-8944-1BA3-6391-C23C7CAB7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14716125"/>
          <a:ext cx="4058216" cy="6001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12</xdr:col>
      <xdr:colOff>391749</xdr:colOff>
      <xdr:row>8</xdr:row>
      <xdr:rowOff>85843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7861F9-899A-47CB-9B15-0B62F6685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8773749" cy="8478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10</xdr:col>
      <xdr:colOff>734485</xdr:colOff>
      <xdr:row>39</xdr:row>
      <xdr:rowOff>76290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3F23ED-E5A3-40ED-8999-0183025F1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6858000"/>
          <a:ext cx="7592485" cy="6477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11</xdr:col>
      <xdr:colOff>610749</xdr:colOff>
      <xdr:row>58</xdr:row>
      <xdr:rowOff>114396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344FE26-B482-4FC9-91A8-22B3F00BB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10477500"/>
          <a:ext cx="8230749" cy="685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11</xdr:col>
      <xdr:colOff>305906</xdr:colOff>
      <xdr:row>80</xdr:row>
      <xdr:rowOff>19132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F18226D-C61B-403A-90A2-7AEBC995A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4668500"/>
          <a:ext cx="7925906" cy="590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FBE2-FE62-4EAD-AE40-8024A2D70A05}">
  <dimension ref="C2:J145"/>
  <sheetViews>
    <sheetView tabSelected="1" topLeftCell="A130" workbookViewId="0">
      <selection activeCell="G133" sqref="G133"/>
    </sheetView>
  </sheetViews>
  <sheetFormatPr baseColWidth="10" defaultRowHeight="15" x14ac:dyDescent="0.25"/>
  <sheetData>
    <row r="2" spans="3:10" x14ac:dyDescent="0.25">
      <c r="C2" s="4" t="s">
        <v>0</v>
      </c>
    </row>
    <row r="8" spans="3:10" x14ac:dyDescent="0.25">
      <c r="C8" s="3" t="s">
        <v>9</v>
      </c>
    </row>
    <row r="10" spans="3:10" ht="18.75" x14ac:dyDescent="0.3">
      <c r="C10" s="1" t="s">
        <v>1</v>
      </c>
      <c r="D10" s="1" t="s">
        <v>2</v>
      </c>
      <c r="E10" s="1" t="s">
        <v>3</v>
      </c>
      <c r="F10" s="1" t="s">
        <v>7</v>
      </c>
      <c r="G10" s="1" t="s">
        <v>4</v>
      </c>
      <c r="H10" s="1" t="s">
        <v>5</v>
      </c>
      <c r="I10" s="1" t="s">
        <v>8</v>
      </c>
      <c r="J10" s="2" t="s">
        <v>6</v>
      </c>
    </row>
    <row r="11" spans="3:10" x14ac:dyDescent="0.25">
      <c r="C11">
        <v>1</v>
      </c>
      <c r="D11">
        <v>3</v>
      </c>
      <c r="E11">
        <v>4</v>
      </c>
      <c r="F11">
        <f t="shared" ref="F11:F26" si="0">+(D11+E11)/2</f>
        <v>3.5</v>
      </c>
      <c r="G11">
        <f>+D11^3-EXP(0.8*D11)-20</f>
        <v>-4.0231763806416048</v>
      </c>
      <c r="H11">
        <f t="shared" ref="H11:I11" si="1">+E11^3-EXP(0.8*E11)-20</f>
        <v>19.467469802890648</v>
      </c>
      <c r="I11">
        <f t="shared" si="1"/>
        <v>6.4303532289029448</v>
      </c>
      <c r="J11">
        <v>5.0000000000000001E-4</v>
      </c>
    </row>
    <row r="12" spans="3:10" x14ac:dyDescent="0.25">
      <c r="C12">
        <v>2</v>
      </c>
      <c r="D12">
        <v>3</v>
      </c>
      <c r="E12">
        <v>3.5</v>
      </c>
      <c r="F12">
        <f t="shared" si="0"/>
        <v>3.25</v>
      </c>
      <c r="G12">
        <f t="shared" ref="G12:G26" si="2">+D12^3-EXP(0.8*D12)-20</f>
        <v>-4.0231763806416048</v>
      </c>
      <c r="H12">
        <f t="shared" ref="H12" si="3">+E12^3-EXP(0.8*E12)-20</f>
        <v>6.4303532289029448</v>
      </c>
      <c r="I12">
        <f t="shared" ref="I12" si="4">+F12^3-EXP(0.8*F12)-20</f>
        <v>0.86438696499831025</v>
      </c>
    </row>
    <row r="13" spans="3:10" x14ac:dyDescent="0.25">
      <c r="C13">
        <v>3</v>
      </c>
      <c r="D13">
        <v>3</v>
      </c>
      <c r="E13">
        <v>3.25</v>
      </c>
      <c r="F13">
        <f t="shared" si="0"/>
        <v>3.125</v>
      </c>
      <c r="G13">
        <f t="shared" si="2"/>
        <v>-4.0231763806416048</v>
      </c>
      <c r="H13">
        <f t="shared" ref="H13" si="5">+E13^3-EXP(0.8*E13)-20</f>
        <v>0.86438696499831025</v>
      </c>
      <c r="I13">
        <f t="shared" ref="I13:I26" si="6">+F13^3-EXP(0.8*F13)-20</f>
        <v>-1.664915835703475</v>
      </c>
    </row>
    <row r="14" spans="3:10" x14ac:dyDescent="0.25">
      <c r="C14">
        <v>4</v>
      </c>
      <c r="D14">
        <v>3.125</v>
      </c>
      <c r="E14">
        <v>3.25</v>
      </c>
      <c r="F14">
        <f t="shared" si="0"/>
        <v>3.1875</v>
      </c>
      <c r="G14">
        <f t="shared" si="2"/>
        <v>-1.664915835703475</v>
      </c>
      <c r="H14">
        <f t="shared" ref="H14" si="7">+E14^3-EXP(0.8*E14)-20</f>
        <v>0.86438696499831025</v>
      </c>
      <c r="I14">
        <f t="shared" si="6"/>
        <v>-0.42160573578803451</v>
      </c>
    </row>
    <row r="15" spans="3:10" x14ac:dyDescent="0.25">
      <c r="C15">
        <v>5</v>
      </c>
      <c r="D15">
        <v>3.1875</v>
      </c>
      <c r="E15">
        <v>3.25</v>
      </c>
      <c r="F15">
        <f t="shared" si="0"/>
        <v>3.21875</v>
      </c>
      <c r="G15">
        <f t="shared" si="2"/>
        <v>-0.42160573578803451</v>
      </c>
      <c r="H15">
        <f t="shared" ref="H15" si="8">+E15^3-EXP(0.8*E15)-20</f>
        <v>0.86438696499831025</v>
      </c>
      <c r="I15">
        <f t="shared" si="6"/>
        <v>0.21606443330685821</v>
      </c>
    </row>
    <row r="16" spans="3:10" x14ac:dyDescent="0.25">
      <c r="C16">
        <v>6</v>
      </c>
      <c r="D16">
        <v>3.1875</v>
      </c>
      <c r="E16">
        <v>3.21875</v>
      </c>
      <c r="F16">
        <f t="shared" si="0"/>
        <v>3.203125</v>
      </c>
      <c r="G16">
        <f t="shared" si="2"/>
        <v>-0.42160573578803451</v>
      </c>
      <c r="H16">
        <f t="shared" ref="H16" si="9">+E16^3-EXP(0.8*E16)-20</f>
        <v>0.21606443330685821</v>
      </c>
      <c r="I16">
        <f t="shared" si="6"/>
        <v>-0.10410353645155368</v>
      </c>
    </row>
    <row r="17" spans="3:10" x14ac:dyDescent="0.25">
      <c r="C17">
        <v>7</v>
      </c>
      <c r="D17">
        <v>3.203125</v>
      </c>
      <c r="E17">
        <v>3.21875</v>
      </c>
      <c r="F17">
        <f t="shared" si="0"/>
        <v>3.2109375</v>
      </c>
      <c r="G17">
        <f t="shared" si="2"/>
        <v>-0.10410353645155368</v>
      </c>
      <c r="H17">
        <f t="shared" ref="H17" si="10">+E17^3-EXP(0.8*E17)-20</f>
        <v>0.21606443330685821</v>
      </c>
      <c r="I17">
        <f t="shared" si="6"/>
        <v>5.5647382134296208E-2</v>
      </c>
    </row>
    <row r="18" spans="3:10" x14ac:dyDescent="0.25">
      <c r="C18">
        <v>8</v>
      </c>
      <c r="D18">
        <v>3.203125</v>
      </c>
      <c r="E18">
        <v>3.2109375</v>
      </c>
      <c r="F18">
        <f t="shared" si="0"/>
        <v>3.20703125</v>
      </c>
      <c r="G18">
        <f t="shared" si="2"/>
        <v>-0.10410353645155368</v>
      </c>
      <c r="H18">
        <f t="shared" ref="H18" si="11">+E18^3-EXP(0.8*E18)-20</f>
        <v>5.5647382134296208E-2</v>
      </c>
      <c r="I18">
        <f t="shared" si="6"/>
        <v>-2.4311363882567605E-2</v>
      </c>
    </row>
    <row r="19" spans="3:10" x14ac:dyDescent="0.25">
      <c r="C19">
        <v>9</v>
      </c>
      <c r="D19">
        <v>3.20703125</v>
      </c>
      <c r="E19">
        <v>3.2109375</v>
      </c>
      <c r="F19">
        <f t="shared" si="0"/>
        <v>3.208984375</v>
      </c>
      <c r="G19">
        <f t="shared" si="2"/>
        <v>-2.4311363882567605E-2</v>
      </c>
      <c r="H19">
        <f t="shared" ref="H19" si="12">+E19^3-EXP(0.8*E19)-20</f>
        <v>5.5647382134296208E-2</v>
      </c>
      <c r="I19">
        <f t="shared" si="6"/>
        <v>1.5647189915139137E-2</v>
      </c>
    </row>
    <row r="20" spans="3:10" x14ac:dyDescent="0.25">
      <c r="C20">
        <v>10</v>
      </c>
      <c r="D20">
        <v>3.20703125</v>
      </c>
      <c r="E20">
        <v>3.208984375</v>
      </c>
      <c r="F20">
        <f t="shared" si="0"/>
        <v>3.2080078125</v>
      </c>
      <c r="G20">
        <f t="shared" si="2"/>
        <v>-2.4311363882567605E-2</v>
      </c>
      <c r="H20">
        <f t="shared" ref="H20" si="13">+E20^3-EXP(0.8*E20)-20</f>
        <v>1.5647189915139137E-2</v>
      </c>
      <c r="I20">
        <f t="shared" si="6"/>
        <v>-4.3372920982065466E-3</v>
      </c>
    </row>
    <row r="21" spans="3:10" x14ac:dyDescent="0.25">
      <c r="C21">
        <v>11</v>
      </c>
      <c r="D21">
        <v>3.2080078125</v>
      </c>
      <c r="E21">
        <v>3.208984375</v>
      </c>
      <c r="F21">
        <f t="shared" si="0"/>
        <v>3.20849609375</v>
      </c>
      <c r="G21">
        <f t="shared" si="2"/>
        <v>-4.3372920982065466E-3</v>
      </c>
      <c r="H21">
        <f t="shared" ref="H21" si="14">+E21^3-EXP(0.8*E21)-20</f>
        <v>1.5647189915139137E-2</v>
      </c>
      <c r="I21">
        <f t="shared" si="6"/>
        <v>5.6536476686304127E-3</v>
      </c>
    </row>
    <row r="22" spans="3:10" x14ac:dyDescent="0.25">
      <c r="C22">
        <v>12</v>
      </c>
      <c r="D22">
        <v>3.2080078125</v>
      </c>
      <c r="E22">
        <v>3.20849609375</v>
      </c>
      <c r="F22">
        <f t="shared" si="0"/>
        <v>3.208251953125</v>
      </c>
      <c r="G22">
        <f t="shared" si="2"/>
        <v>-4.3372920982065466E-3</v>
      </c>
      <c r="H22">
        <f t="shared" ref="H22" si="15">+E22^3-EXP(0.8*E22)-20</f>
        <v>5.6536476686304127E-3</v>
      </c>
      <c r="I22">
        <f t="shared" si="6"/>
        <v>6.5785247038974148E-4</v>
      </c>
    </row>
    <row r="23" spans="3:10" x14ac:dyDescent="0.25">
      <c r="C23">
        <v>13</v>
      </c>
      <c r="D23">
        <v>3.2080078125</v>
      </c>
      <c r="E23">
        <v>3.208251953125</v>
      </c>
      <c r="F23">
        <f t="shared" si="0"/>
        <v>3.2081298828125</v>
      </c>
      <c r="G23">
        <f t="shared" si="2"/>
        <v>-4.3372920982065466E-3</v>
      </c>
      <c r="H23">
        <f t="shared" ref="H23" si="16">+E23^3-EXP(0.8*E23)-20</f>
        <v>6.5785247038974148E-4</v>
      </c>
      <c r="I23">
        <f t="shared" si="6"/>
        <v>-1.8398011432196881E-3</v>
      </c>
    </row>
    <row r="24" spans="3:10" x14ac:dyDescent="0.25">
      <c r="C24">
        <v>14</v>
      </c>
      <c r="D24">
        <v>3.2081298828125</v>
      </c>
      <c r="E24">
        <v>3.208251953125</v>
      </c>
      <c r="F24">
        <f t="shared" si="0"/>
        <v>3.20819091796875</v>
      </c>
      <c r="G24">
        <f t="shared" si="2"/>
        <v>-1.8398011432196881E-3</v>
      </c>
      <c r="H24">
        <f t="shared" ref="H24" si="17">+E24^3-EXP(0.8*E24)-20</f>
        <v>6.5785247038974148E-4</v>
      </c>
      <c r="I24">
        <f t="shared" si="6"/>
        <v>-5.9099466866285866E-4</v>
      </c>
    </row>
    <row r="25" spans="3:10" x14ac:dyDescent="0.25">
      <c r="C25">
        <v>15</v>
      </c>
      <c r="D25">
        <v>3.20819091796875</v>
      </c>
      <c r="E25">
        <v>3.208251953125</v>
      </c>
      <c r="F25">
        <f t="shared" si="0"/>
        <v>3.208221435546875</v>
      </c>
      <c r="G25">
        <f t="shared" si="2"/>
        <v>-5.9099466866285866E-4</v>
      </c>
      <c r="H25">
        <f t="shared" ref="H25" si="18">+E25^3-EXP(0.8*E25)-20</f>
        <v>6.5785247038974148E-4</v>
      </c>
      <c r="I25">
        <f t="shared" si="6"/>
        <v>3.3423817811240042E-5</v>
      </c>
    </row>
    <row r="26" spans="3:10" x14ac:dyDescent="0.25">
      <c r="C26">
        <v>16</v>
      </c>
      <c r="D26">
        <v>3.20819091796875</v>
      </c>
      <c r="E26">
        <v>3.208221435546875</v>
      </c>
      <c r="F26" s="3">
        <f t="shared" si="0"/>
        <v>3.2082061767578125</v>
      </c>
      <c r="G26">
        <f t="shared" si="2"/>
        <v>-5.9099466866285866E-4</v>
      </c>
      <c r="H26">
        <f t="shared" ref="H26" si="19">+E26^3-EXP(0.8*E26)-20</f>
        <v>3.3423817811240042E-5</v>
      </c>
      <c r="I26" s="3">
        <f t="shared" si="6"/>
        <v>-2.7878669619951779E-4</v>
      </c>
    </row>
    <row r="28" spans="3:10" x14ac:dyDescent="0.25">
      <c r="C28" s="3" t="s">
        <v>10</v>
      </c>
    </row>
    <row r="30" spans="3:10" ht="18.75" x14ac:dyDescent="0.3">
      <c r="C30" s="1" t="s">
        <v>1</v>
      </c>
      <c r="D30" s="1" t="s">
        <v>2</v>
      </c>
      <c r="E30" s="1" t="s">
        <v>3</v>
      </c>
      <c r="F30" s="1" t="s">
        <v>7</v>
      </c>
      <c r="G30" s="1" t="s">
        <v>4</v>
      </c>
      <c r="H30" s="1" t="s">
        <v>5</v>
      </c>
      <c r="I30" s="1" t="s">
        <v>8</v>
      </c>
      <c r="J30" s="2" t="s">
        <v>6</v>
      </c>
    </row>
    <row r="31" spans="3:10" x14ac:dyDescent="0.25">
      <c r="C31">
        <v>1</v>
      </c>
      <c r="D31">
        <v>7</v>
      </c>
      <c r="E31">
        <v>8</v>
      </c>
      <c r="F31">
        <f t="shared" ref="F31:F45" si="20">+(D31+E31)/2</f>
        <v>7.5</v>
      </c>
      <c r="G31">
        <f t="shared" ref="G31:G45" si="21">+D31^3-EXP(0.8*D31)-20</f>
        <v>52.573592573847236</v>
      </c>
      <c r="H31">
        <f t="shared" ref="H31:H45" si="22">+E31^3-EXP(0.8*E31)-20</f>
        <v>-109.84503787208223</v>
      </c>
      <c r="I31">
        <f t="shared" ref="I31:I45" si="23">+F31^3-EXP(0.8*F31)-20</f>
        <v>-1.5537934927351102</v>
      </c>
      <c r="J31">
        <v>5.0000000000000001E-4</v>
      </c>
    </row>
    <row r="32" spans="3:10" x14ac:dyDescent="0.25">
      <c r="C32">
        <v>2</v>
      </c>
      <c r="D32">
        <v>7</v>
      </c>
      <c r="E32">
        <v>7.5</v>
      </c>
      <c r="F32">
        <f t="shared" si="20"/>
        <v>7.25</v>
      </c>
      <c r="G32">
        <f t="shared" si="21"/>
        <v>52.573592573847236</v>
      </c>
      <c r="H32">
        <f t="shared" si="22"/>
        <v>-1.5537934927351102</v>
      </c>
      <c r="I32">
        <f t="shared" si="23"/>
        <v>30.778565090351094</v>
      </c>
    </row>
    <row r="33" spans="3:9" x14ac:dyDescent="0.25">
      <c r="C33">
        <v>3</v>
      </c>
      <c r="D33">
        <v>7.25</v>
      </c>
      <c r="E33">
        <v>7.5</v>
      </c>
      <c r="F33">
        <f t="shared" si="20"/>
        <v>7.375</v>
      </c>
      <c r="G33">
        <f t="shared" si="21"/>
        <v>30.778565090351094</v>
      </c>
      <c r="H33">
        <f t="shared" si="22"/>
        <v>-1.5537934927351102</v>
      </c>
      <c r="I33">
        <f t="shared" si="23"/>
        <v>16.093391509671108</v>
      </c>
    </row>
    <row r="34" spans="3:9" x14ac:dyDescent="0.25">
      <c r="C34">
        <v>4</v>
      </c>
      <c r="D34">
        <v>7.375</v>
      </c>
      <c r="E34">
        <v>7.5</v>
      </c>
      <c r="F34">
        <f t="shared" si="20"/>
        <v>7.4375</v>
      </c>
      <c r="G34">
        <f t="shared" si="21"/>
        <v>16.093391509671108</v>
      </c>
      <c r="H34">
        <f t="shared" si="22"/>
        <v>-1.5537934927351102</v>
      </c>
      <c r="I34">
        <f t="shared" si="23"/>
        <v>7.6624324232631125</v>
      </c>
    </row>
    <row r="35" spans="3:9" x14ac:dyDescent="0.25">
      <c r="C35">
        <v>5</v>
      </c>
      <c r="D35">
        <v>7.4375</v>
      </c>
      <c r="E35">
        <v>7.5</v>
      </c>
      <c r="F35">
        <f t="shared" si="20"/>
        <v>7.46875</v>
      </c>
      <c r="G35">
        <f t="shared" si="21"/>
        <v>7.6624324232631125</v>
      </c>
      <c r="H35">
        <f t="shared" si="22"/>
        <v>-1.5537934927351102</v>
      </c>
      <c r="I35">
        <f t="shared" si="23"/>
        <v>3.1554035475757587</v>
      </c>
    </row>
    <row r="36" spans="3:9" x14ac:dyDescent="0.25">
      <c r="C36">
        <v>6</v>
      </c>
      <c r="D36">
        <v>7.46875</v>
      </c>
      <c r="E36">
        <v>7.5</v>
      </c>
      <c r="F36">
        <f t="shared" si="20"/>
        <v>7.484375</v>
      </c>
      <c r="G36">
        <f t="shared" si="21"/>
        <v>3.1554035475757587</v>
      </c>
      <c r="H36">
        <f t="shared" si="22"/>
        <v>-1.5537934927351102</v>
      </c>
      <c r="I36">
        <f t="shared" si="23"/>
        <v>0.8264500659092846</v>
      </c>
    </row>
    <row r="37" spans="3:9" x14ac:dyDescent="0.25">
      <c r="C37">
        <v>7</v>
      </c>
      <c r="D37">
        <v>7.484375</v>
      </c>
      <c r="E37">
        <v>7.5</v>
      </c>
      <c r="F37">
        <f t="shared" si="20"/>
        <v>7.4921875</v>
      </c>
      <c r="G37">
        <f t="shared" si="21"/>
        <v>0.8264500659092846</v>
      </c>
      <c r="H37">
        <f t="shared" si="22"/>
        <v>-1.5537934927351102</v>
      </c>
      <c r="I37">
        <f t="shared" si="23"/>
        <v>-0.35721317290773413</v>
      </c>
    </row>
    <row r="38" spans="3:9" x14ac:dyDescent="0.25">
      <c r="C38">
        <v>8</v>
      </c>
      <c r="D38">
        <v>7.484375</v>
      </c>
      <c r="E38">
        <v>7.4921875</v>
      </c>
      <c r="F38">
        <f t="shared" si="20"/>
        <v>7.48828125</v>
      </c>
      <c r="G38">
        <f t="shared" si="21"/>
        <v>0.8264500659092846</v>
      </c>
      <c r="H38">
        <f t="shared" si="22"/>
        <v>-0.35721317290773413</v>
      </c>
      <c r="I38">
        <f t="shared" si="23"/>
        <v>0.23622714772449172</v>
      </c>
    </row>
    <row r="39" spans="3:9" x14ac:dyDescent="0.25">
      <c r="C39">
        <v>9</v>
      </c>
      <c r="D39">
        <v>7.48828125</v>
      </c>
      <c r="E39">
        <v>7.4921875</v>
      </c>
      <c r="F39">
        <f t="shared" si="20"/>
        <v>7.490234375</v>
      </c>
      <c r="G39">
        <f t="shared" si="21"/>
        <v>0.23622714772449172</v>
      </c>
      <c r="H39">
        <f t="shared" si="22"/>
        <v>-0.35721317290773413</v>
      </c>
      <c r="I39">
        <f t="shared" si="23"/>
        <v>-6.0090097039847024E-2</v>
      </c>
    </row>
    <row r="40" spans="3:9" x14ac:dyDescent="0.25">
      <c r="C40">
        <v>10</v>
      </c>
      <c r="D40">
        <v>7.48828125</v>
      </c>
      <c r="E40">
        <v>7.490234375</v>
      </c>
      <c r="F40">
        <f t="shared" si="20"/>
        <v>7.4892578125</v>
      </c>
      <c r="G40">
        <f t="shared" si="21"/>
        <v>0.23622714772449172</v>
      </c>
      <c r="H40">
        <f t="shared" si="22"/>
        <v>-6.0090097039847024E-2</v>
      </c>
      <c r="I40">
        <f t="shared" si="23"/>
        <v>8.8169161606231228E-2</v>
      </c>
    </row>
    <row r="41" spans="3:9" x14ac:dyDescent="0.25">
      <c r="C41">
        <v>11</v>
      </c>
      <c r="D41">
        <v>7.4892578125</v>
      </c>
      <c r="E41">
        <v>7.490234375</v>
      </c>
      <c r="F41">
        <f t="shared" si="20"/>
        <v>7.48974609375</v>
      </c>
      <c r="G41">
        <f t="shared" si="21"/>
        <v>8.8169161606231228E-2</v>
      </c>
      <c r="H41">
        <f t="shared" si="22"/>
        <v>-6.0090097039847024E-2</v>
      </c>
      <c r="I41">
        <f t="shared" si="23"/>
        <v>1.406470292135964E-2</v>
      </c>
    </row>
    <row r="42" spans="3:9" x14ac:dyDescent="0.25">
      <c r="C42">
        <v>12</v>
      </c>
      <c r="D42">
        <v>7.48974609375</v>
      </c>
      <c r="E42">
        <v>7.490234375</v>
      </c>
      <c r="F42">
        <f t="shared" si="20"/>
        <v>7.489990234375</v>
      </c>
      <c r="G42">
        <f t="shared" si="21"/>
        <v>1.406470292135964E-2</v>
      </c>
      <c r="H42">
        <f t="shared" si="22"/>
        <v>-6.0090097039847024E-2</v>
      </c>
      <c r="I42">
        <f t="shared" si="23"/>
        <v>-2.300640295266021E-2</v>
      </c>
    </row>
    <row r="43" spans="3:9" x14ac:dyDescent="0.25">
      <c r="C43">
        <v>13</v>
      </c>
      <c r="D43">
        <v>7.48974609375</v>
      </c>
      <c r="E43">
        <v>7.489990234375</v>
      </c>
      <c r="F43">
        <f t="shared" si="20"/>
        <v>7.4898681640625</v>
      </c>
      <c r="G43">
        <f t="shared" si="21"/>
        <v>1.406470292135964E-2</v>
      </c>
      <c r="H43">
        <f t="shared" si="22"/>
        <v>-2.300640295266021E-2</v>
      </c>
      <c r="I43">
        <f t="shared" si="23"/>
        <v>-4.4692766700791253E-3</v>
      </c>
    </row>
    <row r="44" spans="3:9" x14ac:dyDescent="0.25">
      <c r="C44">
        <v>14</v>
      </c>
      <c r="D44">
        <v>7.48974609375</v>
      </c>
      <c r="E44">
        <v>7.4898681640625</v>
      </c>
      <c r="F44">
        <f t="shared" si="20"/>
        <v>7.48980712890625</v>
      </c>
      <c r="G44">
        <f t="shared" si="21"/>
        <v>1.406470292135964E-2</v>
      </c>
      <c r="H44">
        <f t="shared" si="22"/>
        <v>-4.4692766700791253E-3</v>
      </c>
      <c r="I44">
        <f t="shared" si="23"/>
        <v>4.7981064394662098E-3</v>
      </c>
    </row>
    <row r="45" spans="3:9" x14ac:dyDescent="0.25">
      <c r="C45">
        <v>15</v>
      </c>
      <c r="D45">
        <v>7.48980712890625</v>
      </c>
      <c r="E45">
        <v>7.4898681640625</v>
      </c>
      <c r="F45" s="3">
        <f t="shared" si="20"/>
        <v>7.489837646484375</v>
      </c>
      <c r="G45">
        <f t="shared" si="21"/>
        <v>4.7981064394662098E-3</v>
      </c>
      <c r="H45">
        <f t="shared" si="22"/>
        <v>-4.4692766700791253E-3</v>
      </c>
      <c r="I45" s="3">
        <f t="shared" si="23"/>
        <v>1.6451321619115333E-4</v>
      </c>
    </row>
    <row r="55" spans="3:10" x14ac:dyDescent="0.25">
      <c r="D55" s="3" t="s">
        <v>11</v>
      </c>
    </row>
    <row r="57" spans="3:10" ht="18.75" x14ac:dyDescent="0.3">
      <c r="C57" s="1" t="s">
        <v>1</v>
      </c>
      <c r="D57" s="1" t="s">
        <v>2</v>
      </c>
      <c r="E57" s="1" t="s">
        <v>3</v>
      </c>
      <c r="F57" s="1" t="s">
        <v>7</v>
      </c>
      <c r="G57" s="1" t="s">
        <v>4</v>
      </c>
      <c r="H57" s="1" t="s">
        <v>5</v>
      </c>
      <c r="I57" s="1" t="s">
        <v>8</v>
      </c>
      <c r="J57" s="2" t="s">
        <v>6</v>
      </c>
    </row>
    <row r="58" spans="3:10" x14ac:dyDescent="0.25">
      <c r="C58">
        <v>1</v>
      </c>
      <c r="D58">
        <v>5</v>
      </c>
      <c r="E58">
        <v>6</v>
      </c>
      <c r="F58">
        <f t="shared" ref="F58:F68" si="24">+(D58+E58)/2</f>
        <v>5.5</v>
      </c>
      <c r="G58">
        <f>3*SIN(0.5*D58)-0.5*D58+2</f>
        <v>1.2954164323118698</v>
      </c>
      <c r="H58">
        <f t="shared" ref="H58:I58" si="25">3*SIN(0.5*E58)-0.5*E58+2</f>
        <v>-0.57663997582039839</v>
      </c>
      <c r="I58">
        <f t="shared" si="25"/>
        <v>0.39498297615699496</v>
      </c>
      <c r="J58">
        <v>5.0000000000000001E-4</v>
      </c>
    </row>
    <row r="59" spans="3:10" x14ac:dyDescent="0.25">
      <c r="D59">
        <v>5.5</v>
      </c>
      <c r="E59">
        <v>6</v>
      </c>
      <c r="F59">
        <f t="shared" si="24"/>
        <v>5.75</v>
      </c>
      <c r="G59">
        <f t="shared" ref="G58:G68" si="26">3*SIN(0.5*D59)-0.5*D59+2</f>
        <v>0.39498297615699496</v>
      </c>
      <c r="H59">
        <f t="shared" ref="H59" si="27">3*SIN(0.5*E59)-0.5*E59+2</f>
        <v>-0.57663997582039839</v>
      </c>
      <c r="I59">
        <f t="shared" ref="I59" si="28">3*SIN(0.5*F59)-0.5*F59+2</f>
        <v>-8.4662019909737651E-2</v>
      </c>
    </row>
    <row r="60" spans="3:10" x14ac:dyDescent="0.25">
      <c r="D60">
        <v>5.5</v>
      </c>
      <c r="E60">
        <v>5.75</v>
      </c>
      <c r="F60">
        <f t="shared" si="24"/>
        <v>5.625</v>
      </c>
      <c r="G60">
        <f t="shared" si="26"/>
        <v>0.39498297615699496</v>
      </c>
      <c r="H60">
        <f t="shared" ref="H60" si="29">3*SIN(0.5*E60)-0.5*E60+2</f>
        <v>-8.4662019909737651E-2</v>
      </c>
      <c r="I60">
        <f t="shared" ref="I60" si="30">3*SIN(0.5*F60)-0.5*F60+2</f>
        <v>0.15705352099906067</v>
      </c>
    </row>
    <row r="61" spans="3:10" x14ac:dyDescent="0.25">
      <c r="D61">
        <v>5.625</v>
      </c>
      <c r="E61">
        <v>5.75</v>
      </c>
      <c r="F61">
        <f t="shared" si="24"/>
        <v>5.6875</v>
      </c>
      <c r="G61">
        <f t="shared" si="26"/>
        <v>0.15705352099906067</v>
      </c>
      <c r="H61">
        <f t="shared" ref="H61" si="31">3*SIN(0.5*E61)-0.5*E61+2</f>
        <v>-8.4662019909737651E-2</v>
      </c>
      <c r="I61">
        <f t="shared" ref="I61" si="32">3*SIN(0.5*F61)-0.5*F61+2</f>
        <v>3.6625586454641201E-2</v>
      </c>
    </row>
    <row r="62" spans="3:10" x14ac:dyDescent="0.25">
      <c r="D62">
        <v>5.6875</v>
      </c>
      <c r="E62">
        <v>5.75</v>
      </c>
      <c r="F62">
        <f t="shared" si="24"/>
        <v>5.71875</v>
      </c>
      <c r="G62">
        <f t="shared" si="26"/>
        <v>3.6625586454641201E-2</v>
      </c>
      <c r="H62">
        <f t="shared" ref="H62" si="33">3*SIN(0.5*E62)-0.5*E62+2</f>
        <v>-8.4662019909737651E-2</v>
      </c>
      <c r="I62">
        <f t="shared" ref="I62" si="34">3*SIN(0.5*F62)-0.5*F62+2</f>
        <v>-2.3916234089780275E-2</v>
      </c>
    </row>
    <row r="63" spans="3:10" x14ac:dyDescent="0.25">
      <c r="D63">
        <v>5.6875</v>
      </c>
      <c r="E63">
        <v>5.71875</v>
      </c>
      <c r="F63">
        <f t="shared" si="24"/>
        <v>5.703125</v>
      </c>
      <c r="G63">
        <f t="shared" si="26"/>
        <v>3.6625586454641201E-2</v>
      </c>
      <c r="H63">
        <f t="shared" ref="H63" si="35">3*SIN(0.5*E63)-0.5*E63+2</f>
        <v>-2.3916234089780275E-2</v>
      </c>
      <c r="I63">
        <f t="shared" ref="I63" si="36">3*SIN(0.5*F63)-0.5*F63+2</f>
        <v>6.3808584027273962E-3</v>
      </c>
    </row>
    <row r="64" spans="3:10" x14ac:dyDescent="0.25">
      <c r="D64">
        <v>5.703125</v>
      </c>
      <c r="E64">
        <v>5.71875</v>
      </c>
      <c r="F64">
        <f t="shared" si="24"/>
        <v>5.7109375</v>
      </c>
      <c r="G64">
        <f t="shared" si="26"/>
        <v>6.3808584027273962E-3</v>
      </c>
      <c r="H64">
        <f t="shared" ref="H64" si="37">3*SIN(0.5*E64)-0.5*E64+2</f>
        <v>-2.3916234089780275E-2</v>
      </c>
      <c r="I64">
        <f t="shared" ref="I64" si="38">3*SIN(0.5*F64)-0.5*F64+2</f>
        <v>-8.7612279860023179E-3</v>
      </c>
    </row>
    <row r="65" spans="3:10" x14ac:dyDescent="0.25">
      <c r="D65">
        <v>5.703125</v>
      </c>
      <c r="E65">
        <v>5.7109375</v>
      </c>
      <c r="F65">
        <f t="shared" si="24"/>
        <v>5.70703125</v>
      </c>
      <c r="G65">
        <f t="shared" si="26"/>
        <v>6.3808584027273962E-3</v>
      </c>
      <c r="H65">
        <f t="shared" ref="H65" si="39">3*SIN(0.5*E65)-0.5*E65+2</f>
        <v>-8.7612279860023179E-3</v>
      </c>
      <c r="I65">
        <f t="shared" ref="I65" si="40">3*SIN(0.5*F65)-0.5*F65+2</f>
        <v>-1.1885591072906543E-3</v>
      </c>
    </row>
    <row r="66" spans="3:10" x14ac:dyDescent="0.25">
      <c r="D66">
        <v>5.703125</v>
      </c>
      <c r="E66">
        <v>5.70703125</v>
      </c>
      <c r="F66">
        <f t="shared" si="24"/>
        <v>5.705078125</v>
      </c>
      <c r="G66">
        <f t="shared" si="26"/>
        <v>6.3808584027273962E-3</v>
      </c>
      <c r="H66">
        <f t="shared" ref="H66" si="41">3*SIN(0.5*E66)-0.5*E66+2</f>
        <v>-1.1885591072906543E-3</v>
      </c>
      <c r="I66">
        <f t="shared" ref="I66" si="42">3*SIN(0.5*F66)-0.5*F66+2</f>
        <v>2.5965574081250331E-3</v>
      </c>
    </row>
    <row r="67" spans="3:10" x14ac:dyDescent="0.25">
      <c r="D67">
        <v>5.705078125</v>
      </c>
      <c r="E67">
        <v>5.70703125</v>
      </c>
      <c r="F67">
        <f t="shared" si="24"/>
        <v>5.7060546875</v>
      </c>
      <c r="G67">
        <f t="shared" si="26"/>
        <v>2.5965574081250331E-3</v>
      </c>
      <c r="H67">
        <f t="shared" ref="H67" si="43">3*SIN(0.5*E67)-0.5*E67+2</f>
        <v>-1.1885591072906543E-3</v>
      </c>
      <c r="I67">
        <f t="shared" ref="I67" si="44">3*SIN(0.5*F67)-0.5*F67+2</f>
        <v>7.0410092313410999E-4</v>
      </c>
    </row>
    <row r="68" spans="3:10" x14ac:dyDescent="0.25">
      <c r="D68">
        <v>5.7060546875</v>
      </c>
      <c r="E68">
        <v>5.70703125</v>
      </c>
      <c r="F68" s="3">
        <f t="shared" si="24"/>
        <v>5.70654296875</v>
      </c>
      <c r="G68">
        <f t="shared" si="26"/>
        <v>7.0410092313410999E-4</v>
      </c>
      <c r="H68">
        <f t="shared" ref="H68" si="45">3*SIN(0.5*E68)-0.5*E68+2</f>
        <v>-1.1885591072906543E-3</v>
      </c>
      <c r="I68" s="3">
        <f t="shared" ref="I68" si="46">3*SIN(0.5*F68)-0.5*F68+2</f>
        <v>-2.4220366982463659E-4</v>
      </c>
    </row>
    <row r="78" spans="3:10" x14ac:dyDescent="0.25">
      <c r="C78" t="s">
        <v>12</v>
      </c>
    </row>
    <row r="80" spans="3:10" ht="18.75" x14ac:dyDescent="0.3">
      <c r="C80" s="1" t="s">
        <v>1</v>
      </c>
      <c r="D80" s="1" t="s">
        <v>2</v>
      </c>
      <c r="E80" s="1" t="s">
        <v>3</v>
      </c>
      <c r="F80" s="1" t="s">
        <v>7</v>
      </c>
      <c r="G80" s="1" t="s">
        <v>4</v>
      </c>
      <c r="H80" s="1" t="s">
        <v>5</v>
      </c>
      <c r="I80" s="1" t="s">
        <v>8</v>
      </c>
      <c r="J80" s="2" t="s">
        <v>6</v>
      </c>
    </row>
    <row r="81" spans="3:10" x14ac:dyDescent="0.25">
      <c r="C81">
        <v>1</v>
      </c>
      <c r="D81">
        <v>-2</v>
      </c>
      <c r="E81">
        <v>-1</v>
      </c>
      <c r="F81">
        <f t="shared" ref="F81:F94" si="47">+(D81+E81)/2</f>
        <v>-1.5</v>
      </c>
      <c r="G81">
        <f t="shared" ref="G81:G94" si="48">+D81^3-D81^2*EXP(-0.5*D81)-3*D81+1</f>
        <v>-11.873127313836179</v>
      </c>
      <c r="H81">
        <f t="shared" ref="H81:I81" si="49">+E81^3-E81^2*EXP(-0.5*E81)-3*E81+1</f>
        <v>1.3512787292998718</v>
      </c>
      <c r="I81">
        <f t="shared" si="49"/>
        <v>-2.6382500373785192</v>
      </c>
      <c r="J81">
        <v>5.0000000000000001E-4</v>
      </c>
    </row>
    <row r="82" spans="3:10" x14ac:dyDescent="0.25">
      <c r="C82">
        <v>2</v>
      </c>
      <c r="D82">
        <v>-1.5</v>
      </c>
      <c r="E82">
        <v>-1</v>
      </c>
      <c r="F82">
        <f t="shared" si="47"/>
        <v>-1.25</v>
      </c>
      <c r="G82">
        <f t="shared" si="48"/>
        <v>-2.6382500373785192</v>
      </c>
      <c r="H82">
        <f t="shared" ref="H82" si="50">+E82^3-E82^2*EXP(-0.5*E82)-3*E82+1</f>
        <v>1.3512787292998718</v>
      </c>
      <c r="I82">
        <f t="shared" ref="I82" si="51">+F82^3-F82^2*EXP(-0.5*F82)-3*F82+1</f>
        <v>-0.12225930848784738</v>
      </c>
    </row>
    <row r="83" spans="3:10" x14ac:dyDescent="0.25">
      <c r="C83">
        <v>3</v>
      </c>
      <c r="D83">
        <v>-1.25</v>
      </c>
      <c r="E83">
        <v>-1</v>
      </c>
      <c r="F83">
        <f t="shared" si="47"/>
        <v>-1.125</v>
      </c>
      <c r="G83">
        <f t="shared" si="48"/>
        <v>-0.12225930848784738</v>
      </c>
      <c r="H83">
        <f t="shared" ref="H83" si="52">+E83^3-E83^2*EXP(-0.5*E83)-3*E83+1</f>
        <v>1.3512787292998718</v>
      </c>
      <c r="I83">
        <f t="shared" ref="I83" si="53">+F83^3-F83^2*EXP(-0.5*F83)-3*F83+1</f>
        <v>0.72993082478462235</v>
      </c>
    </row>
    <row r="84" spans="3:10" x14ac:dyDescent="0.25">
      <c r="C84">
        <v>4</v>
      </c>
      <c r="D84">
        <v>-1.25</v>
      </c>
      <c r="E84">
        <v>-1.125</v>
      </c>
      <c r="F84">
        <f t="shared" si="47"/>
        <v>-1.1875</v>
      </c>
      <c r="G84">
        <f t="shared" si="48"/>
        <v>-0.12225930848784738</v>
      </c>
      <c r="H84">
        <f t="shared" ref="H84" si="54">+E84^3-E84^2*EXP(-0.5*E84)-3*E84+1</f>
        <v>0.72993082478462235</v>
      </c>
      <c r="I84">
        <f t="shared" ref="I84" si="55">+F84^3-F84^2*EXP(-0.5*F84)-3*F84+1</f>
        <v>0.33447635923789498</v>
      </c>
    </row>
    <row r="85" spans="3:10" x14ac:dyDescent="0.25">
      <c r="C85">
        <v>5</v>
      </c>
      <c r="D85">
        <v>-1.25</v>
      </c>
      <c r="E85">
        <v>-1.1875</v>
      </c>
      <c r="F85">
        <f t="shared" si="47"/>
        <v>-1.21875</v>
      </c>
      <c r="G85">
        <f t="shared" si="48"/>
        <v>-0.12225930848784738</v>
      </c>
      <c r="H85">
        <f t="shared" ref="H85" si="56">+E85^3-E85^2*EXP(-0.5*E85)-3*E85+1</f>
        <v>0.33447635923789498</v>
      </c>
      <c r="I85">
        <f t="shared" ref="I85" si="57">+F85^3-F85^2*EXP(-0.5*F85)-3*F85+1</f>
        <v>0.11399815032026517</v>
      </c>
    </row>
    <row r="86" spans="3:10" x14ac:dyDescent="0.25">
      <c r="C86">
        <v>6</v>
      </c>
      <c r="D86">
        <v>-1.25</v>
      </c>
      <c r="E86">
        <v>-1.21875</v>
      </c>
      <c r="F86">
        <f t="shared" si="47"/>
        <v>-1.234375</v>
      </c>
      <c r="G86">
        <f t="shared" si="48"/>
        <v>-0.12225930848784738</v>
      </c>
      <c r="H86">
        <f t="shared" ref="H86" si="58">+E86^3-E86^2*EXP(-0.5*E86)-3*E86+1</f>
        <v>0.11399815032026517</v>
      </c>
      <c r="I86">
        <f t="shared" ref="I86" si="59">+F86^3-F86^2*EXP(-0.5*F86)-3*F86+1</f>
        <v>-2.1290798148916323E-3</v>
      </c>
    </row>
    <row r="87" spans="3:10" x14ac:dyDescent="0.25">
      <c r="C87">
        <v>7</v>
      </c>
      <c r="D87">
        <v>-1.234375</v>
      </c>
      <c r="E87">
        <v>-1.21875</v>
      </c>
      <c r="F87">
        <f t="shared" si="47"/>
        <v>-1.2265625</v>
      </c>
      <c r="G87">
        <f t="shared" si="48"/>
        <v>-2.1290798148916323E-3</v>
      </c>
      <c r="H87">
        <f t="shared" ref="H87" si="60">+E87^3-E87^2*EXP(-0.5*E87)-3*E87+1</f>
        <v>0.11399815032026517</v>
      </c>
      <c r="I87">
        <f t="shared" ref="I87:I94" si="61">+F87^3-F87^2*EXP(-0.5*F87)-3*F87+1</f>
        <v>5.6431254909981021E-2</v>
      </c>
    </row>
    <row r="88" spans="3:10" x14ac:dyDescent="0.25">
      <c r="C88">
        <v>8</v>
      </c>
      <c r="D88">
        <v>-1.234375</v>
      </c>
      <c r="E88">
        <v>-1.2265625</v>
      </c>
      <c r="F88">
        <f t="shared" si="47"/>
        <v>-1.23046875</v>
      </c>
      <c r="G88">
        <f t="shared" si="48"/>
        <v>-2.1290798148916323E-3</v>
      </c>
      <c r="H88">
        <f t="shared" ref="H88" si="62">+E88^3-E88^2*EXP(-0.5*E88)-3*E88+1</f>
        <v>5.6431254909981021E-2</v>
      </c>
      <c r="I88">
        <f t="shared" si="61"/>
        <v>2.7275723191040768E-2</v>
      </c>
    </row>
    <row r="89" spans="3:10" x14ac:dyDescent="0.25">
      <c r="C89">
        <v>9</v>
      </c>
      <c r="D89">
        <v>-1.234375</v>
      </c>
      <c r="E89">
        <v>-1.23046875</v>
      </c>
      <c r="F89">
        <f t="shared" si="47"/>
        <v>-1.232421875</v>
      </c>
      <c r="G89">
        <f t="shared" si="48"/>
        <v>-2.1290798148916323E-3</v>
      </c>
      <c r="H89">
        <f t="shared" ref="H89" si="63">+E89^3-E89^2*EXP(-0.5*E89)-3*E89+1</f>
        <v>2.7275723191040768E-2</v>
      </c>
      <c r="I89">
        <f t="shared" si="61"/>
        <v>1.2604537666828897E-2</v>
      </c>
    </row>
    <row r="90" spans="3:10" x14ac:dyDescent="0.25">
      <c r="C90">
        <v>10</v>
      </c>
      <c r="D90">
        <v>-1.234375</v>
      </c>
      <c r="E90">
        <v>-1.232421875</v>
      </c>
      <c r="F90">
        <f t="shared" si="47"/>
        <v>-1.2333984375</v>
      </c>
      <c r="G90">
        <f t="shared" si="48"/>
        <v>-2.1290798148916323E-3</v>
      </c>
      <c r="H90">
        <f t="shared" ref="H90" si="64">+E90^3-E90^2*EXP(-0.5*E90)-3*E90+1</f>
        <v>1.2604537666828897E-2</v>
      </c>
      <c r="I90">
        <f t="shared" si="61"/>
        <v>5.2455400605149194E-3</v>
      </c>
    </row>
    <row r="91" spans="3:10" x14ac:dyDescent="0.25">
      <c r="C91">
        <v>11</v>
      </c>
      <c r="D91">
        <v>-1.234375</v>
      </c>
      <c r="E91">
        <v>-1.2333984375</v>
      </c>
      <c r="F91">
        <f t="shared" si="47"/>
        <v>-1.23388671875</v>
      </c>
      <c r="G91">
        <f t="shared" si="48"/>
        <v>-2.1290798148916323E-3</v>
      </c>
      <c r="H91">
        <f t="shared" ref="H91" si="65">+E91^3-E91^2*EXP(-0.5*E91)-3*E91+1</f>
        <v>5.2455400605149194E-3</v>
      </c>
      <c r="I91">
        <f t="shared" si="61"/>
        <v>1.5601837993290957E-3</v>
      </c>
    </row>
    <row r="92" spans="3:10" x14ac:dyDescent="0.25">
      <c r="C92">
        <v>12</v>
      </c>
      <c r="D92">
        <v>-1.234375</v>
      </c>
      <c r="E92">
        <v>-1.23388671875</v>
      </c>
      <c r="F92">
        <f t="shared" si="47"/>
        <v>-1.234130859375</v>
      </c>
      <c r="G92">
        <f t="shared" si="48"/>
        <v>-2.1290798148916323E-3</v>
      </c>
      <c r="H92">
        <f t="shared" ref="H92" si="66">+E92^3-E92^2*EXP(-0.5*E92)-3*E92+1</f>
        <v>1.5601837993290957E-3</v>
      </c>
      <c r="I92">
        <f t="shared" si="61"/>
        <v>-2.8395947701653768E-4</v>
      </c>
    </row>
    <row r="93" spans="3:10" x14ac:dyDescent="0.25">
      <c r="C93">
        <v>13</v>
      </c>
      <c r="D93">
        <v>-1.234130859375</v>
      </c>
      <c r="E93">
        <v>-1.23388671875</v>
      </c>
      <c r="F93">
        <f t="shared" si="47"/>
        <v>-1.2340087890625</v>
      </c>
      <c r="G93">
        <f t="shared" si="48"/>
        <v>-2.8395947701653768E-4</v>
      </c>
      <c r="H93">
        <f t="shared" ref="H93" si="67">+E93^3-E93^2*EXP(-0.5*E93)-3*E93+1</f>
        <v>1.5601837993290957E-3</v>
      </c>
      <c r="I93">
        <f t="shared" si="61"/>
        <v>6.3823427989184722E-4</v>
      </c>
    </row>
    <row r="94" spans="3:10" x14ac:dyDescent="0.25">
      <c r="C94">
        <v>14</v>
      </c>
      <c r="D94">
        <v>-1.234130859375</v>
      </c>
      <c r="E94">
        <v>-1.2340087890625</v>
      </c>
      <c r="F94" s="3">
        <f t="shared" si="47"/>
        <v>-1.23406982421875</v>
      </c>
      <c r="G94">
        <f t="shared" si="48"/>
        <v>-2.8395947701653768E-4</v>
      </c>
      <c r="H94">
        <f t="shared" ref="H94" si="68">+E94^3-E94^2*EXP(-0.5*E94)-3*E94+1</f>
        <v>6.3823427989184722E-4</v>
      </c>
      <c r="I94" s="3">
        <f t="shared" si="61"/>
        <v>1.771679328657072E-4</v>
      </c>
    </row>
    <row r="96" spans="3:10" x14ac:dyDescent="0.25">
      <c r="C96" s="5" t="s">
        <v>13</v>
      </c>
    </row>
    <row r="98" spans="3:10" ht="18.75" x14ac:dyDescent="0.3">
      <c r="C98" s="1" t="s">
        <v>1</v>
      </c>
      <c r="D98" s="1" t="s">
        <v>2</v>
      </c>
      <c r="E98" s="1" t="s">
        <v>3</v>
      </c>
      <c r="F98" s="1" t="s">
        <v>7</v>
      </c>
      <c r="G98" s="1" t="s">
        <v>4</v>
      </c>
      <c r="H98" s="1" t="s">
        <v>5</v>
      </c>
      <c r="I98" s="1" t="s">
        <v>8</v>
      </c>
      <c r="J98" s="2" t="s">
        <v>6</v>
      </c>
    </row>
    <row r="99" spans="3:10" x14ac:dyDescent="0.25">
      <c r="C99">
        <v>1</v>
      </c>
      <c r="D99">
        <v>0</v>
      </c>
      <c r="E99">
        <v>1</v>
      </c>
      <c r="F99">
        <f t="shared" ref="F99:F105" si="69">+(D99+E99)/2</f>
        <v>0.5</v>
      </c>
      <c r="G99">
        <f t="shared" ref="G99" si="70">+D99^3-D99^2*EXP(-0.5*D99)-3*D99+1</f>
        <v>1</v>
      </c>
      <c r="H99">
        <f t="shared" ref="H99" si="71">+E99^3-E99^2*EXP(-0.5*E99)-3*E99+1</f>
        <v>-1.6065306597126332</v>
      </c>
      <c r="I99">
        <f t="shared" ref="I99" si="72">+F99^3-F99^2*EXP(-0.5*F99)-3*F99+1</f>
        <v>-0.56970019576785114</v>
      </c>
      <c r="J99">
        <v>5.0000000000000001E-4</v>
      </c>
    </row>
    <row r="100" spans="3:10" x14ac:dyDescent="0.25">
      <c r="C100">
        <v>2</v>
      </c>
      <c r="D100">
        <v>0</v>
      </c>
      <c r="E100">
        <v>0.5</v>
      </c>
      <c r="F100">
        <f t="shared" si="69"/>
        <v>0.25</v>
      </c>
      <c r="G100">
        <f t="shared" ref="G100" si="73">+D100^3-D100^2*EXP(-0.5*D100)-3*D100+1</f>
        <v>1</v>
      </c>
      <c r="H100">
        <f t="shared" ref="H100" si="74">+E100^3-E100^2*EXP(-0.5*E100)-3*E100+1</f>
        <v>-0.56970019576785114</v>
      </c>
      <c r="I100">
        <f t="shared" ref="I100" si="75">+F100^3-F100^2*EXP(-0.5*F100)-3*F100+1</f>
        <v>0.2104689435884628</v>
      </c>
    </row>
    <row r="101" spans="3:10" x14ac:dyDescent="0.25">
      <c r="C101">
        <v>3</v>
      </c>
      <c r="D101">
        <v>0.25</v>
      </c>
      <c r="E101">
        <v>0.5</v>
      </c>
      <c r="F101">
        <f t="shared" si="69"/>
        <v>0.375</v>
      </c>
      <c r="G101">
        <f t="shared" ref="G101" si="76">+D101^3-D101^2*EXP(-0.5*D101)-3*D101+1</f>
        <v>0.2104689435884628</v>
      </c>
      <c r="H101">
        <f t="shared" ref="H101" si="77">+E101^3-E101^2*EXP(-0.5*E101)-3*E101+1</f>
        <v>-0.56970019576785114</v>
      </c>
      <c r="I101">
        <f t="shared" ref="I101" si="78">+F101^3-F101^2*EXP(-0.5*F101)-3*F101+1</f>
        <v>-0.18884784474411886</v>
      </c>
    </row>
    <row r="102" spans="3:10" x14ac:dyDescent="0.25">
      <c r="C102">
        <v>4</v>
      </c>
      <c r="D102">
        <v>0.25</v>
      </c>
      <c r="E102">
        <v>0.375</v>
      </c>
      <c r="F102">
        <f t="shared" si="69"/>
        <v>0.3125</v>
      </c>
      <c r="G102">
        <f t="shared" ref="G102" si="79">+D102^3-D102^2*EXP(-0.5*D102)-3*D102+1</f>
        <v>0.2104689435884628</v>
      </c>
      <c r="H102">
        <f t="shared" ref="H102" si="80">+E102^3-E102^2*EXP(-0.5*E102)-3*E102+1</f>
        <v>-0.18884784474411886</v>
      </c>
      <c r="I102">
        <f t="shared" ref="I102" si="81">+F102^3-F102^2*EXP(-0.5*F102)-3*F102+1</f>
        <v>9.4877610051344874E-3</v>
      </c>
    </row>
    <row r="103" spans="3:10" x14ac:dyDescent="0.25">
      <c r="C103">
        <v>5</v>
      </c>
      <c r="D103">
        <v>0.3125</v>
      </c>
      <c r="E103">
        <v>0.375</v>
      </c>
      <c r="F103">
        <f t="shared" si="69"/>
        <v>0.34375</v>
      </c>
      <c r="G103">
        <f t="shared" ref="G103" si="82">+D103^3-D103^2*EXP(-0.5*D103)-3*D103+1</f>
        <v>9.4877610051344874E-3</v>
      </c>
      <c r="H103">
        <f t="shared" ref="H103" si="83">+E103^3-E103^2*EXP(-0.5*E103)-3*E103+1</f>
        <v>-0.18884784474411886</v>
      </c>
      <c r="I103">
        <f t="shared" ref="I103" si="84">+F103^3-F103^2*EXP(-0.5*F103)-3*F103+1</f>
        <v>-9.0135220394872428E-2</v>
      </c>
    </row>
    <row r="104" spans="3:10" x14ac:dyDescent="0.25">
      <c r="C104">
        <v>6</v>
      </c>
      <c r="D104">
        <v>0.3125</v>
      </c>
      <c r="E104">
        <v>0.34375</v>
      </c>
      <c r="F104">
        <f t="shared" si="69"/>
        <v>0.328125</v>
      </c>
      <c r="G104">
        <f t="shared" ref="G104" si="85">+D104^3-D104^2*EXP(-0.5*D104)-3*D104+1</f>
        <v>9.4877610051344874E-3</v>
      </c>
      <c r="H104">
        <f t="shared" ref="H104" si="86">+E104^3-E104^2*EXP(-0.5*E104)-3*E104+1</f>
        <v>-9.0135220394872428E-2</v>
      </c>
      <c r="I104">
        <f t="shared" ref="I104" si="87">+F104^3-F104^2*EXP(-0.5*F104)-3*F104+1</f>
        <v>-4.0422049298882712E-2</v>
      </c>
    </row>
    <row r="105" spans="3:10" x14ac:dyDescent="0.25">
      <c r="C105">
        <v>7</v>
      </c>
      <c r="D105">
        <v>0.3125</v>
      </c>
      <c r="E105">
        <v>0.328125</v>
      </c>
      <c r="F105">
        <f t="shared" si="69"/>
        <v>0.3203125</v>
      </c>
      <c r="G105">
        <f t="shared" ref="G105" si="88">+D105^3-D105^2*EXP(-0.5*D105)-3*D105+1</f>
        <v>9.4877610051344874E-3</v>
      </c>
      <c r="H105">
        <f t="shared" ref="H105" si="89">+E105^3-E105^2*EXP(-0.5*E105)-3*E105+1</f>
        <v>-4.0422049298882712E-2</v>
      </c>
      <c r="I105">
        <f t="shared" ref="I105" si="90">+F105^3-F105^2*EXP(-0.5*F105)-3*F105+1</f>
        <v>-1.5489782308668598E-2</v>
      </c>
    </row>
    <row r="106" spans="3:10" x14ac:dyDescent="0.25">
      <c r="C106">
        <v>8</v>
      </c>
      <c r="D106">
        <v>0.3125</v>
      </c>
      <c r="E106">
        <v>0.3203125</v>
      </c>
      <c r="F106">
        <f t="shared" ref="F106" si="91">+(D106+E106)/2</f>
        <v>0.31640625</v>
      </c>
      <c r="G106">
        <f t="shared" ref="G106" si="92">+D106^3-D106^2*EXP(-0.5*D106)-3*D106+1</f>
        <v>9.4877610051344874E-3</v>
      </c>
      <c r="H106">
        <f t="shared" ref="H106" si="93">+E106^3-E106^2*EXP(-0.5*E106)-3*E106+1</f>
        <v>-1.5489782308668598E-2</v>
      </c>
      <c r="I106">
        <f t="shared" ref="I106" si="94">+F106^3-F106^2*EXP(-0.5*F106)-3*F106+1</f>
        <v>-3.006427010124435E-3</v>
      </c>
    </row>
    <row r="107" spans="3:10" x14ac:dyDescent="0.25">
      <c r="C107">
        <v>9</v>
      </c>
      <c r="D107">
        <v>0.3125</v>
      </c>
      <c r="E107">
        <v>0.31640625</v>
      </c>
      <c r="F107">
        <f t="shared" ref="F107" si="95">+(D107+E107)/2</f>
        <v>0.314453125</v>
      </c>
      <c r="G107">
        <f t="shared" ref="G107" si="96">+D107^3-D107^2*EXP(-0.5*D107)-3*D107+1</f>
        <v>9.4877610051344874E-3</v>
      </c>
      <c r="H107">
        <f t="shared" ref="H107" si="97">+E107^3-E107^2*EXP(-0.5*E107)-3*E107+1</f>
        <v>-3.006427010124435E-3</v>
      </c>
      <c r="I107">
        <f t="shared" ref="I107" si="98">+F107^3-F107^2*EXP(-0.5*F107)-3*F107+1</f>
        <v>3.239343334866418E-3</v>
      </c>
    </row>
    <row r="108" spans="3:10" x14ac:dyDescent="0.25">
      <c r="C108">
        <v>10</v>
      </c>
      <c r="D108">
        <v>0.314453125</v>
      </c>
      <c r="E108">
        <v>0.31640625</v>
      </c>
      <c r="F108" s="3">
        <f t="shared" ref="F108" si="99">+(D108+E108)/2</f>
        <v>0.3154296875</v>
      </c>
      <c r="G108">
        <f t="shared" ref="G108" si="100">+D108^3-D108^2*EXP(-0.5*D108)-3*D108+1</f>
        <v>3.239343334866418E-3</v>
      </c>
      <c r="H108">
        <f t="shared" ref="H108" si="101">+E108^3-E108^2*EXP(-0.5*E108)-3*E108+1</f>
        <v>-3.006427010124435E-3</v>
      </c>
      <c r="I108" s="3">
        <f t="shared" ref="I108" si="102">+F108^3-F108^2*EXP(-0.5*F108)-3*F108+1</f>
        <v>1.1612344203659752E-4</v>
      </c>
    </row>
    <row r="110" spans="3:10" x14ac:dyDescent="0.25">
      <c r="C110" s="3" t="s">
        <v>14</v>
      </c>
    </row>
    <row r="112" spans="3:10" ht="18.75" x14ac:dyDescent="0.3">
      <c r="C112" s="1" t="s">
        <v>1</v>
      </c>
      <c r="D112" s="1" t="s">
        <v>2</v>
      </c>
      <c r="E112" s="1" t="s">
        <v>3</v>
      </c>
      <c r="F112" s="1" t="s">
        <v>7</v>
      </c>
      <c r="G112" s="1" t="s">
        <v>4</v>
      </c>
      <c r="H112" s="1" t="s">
        <v>5</v>
      </c>
      <c r="I112" s="1" t="s">
        <v>8</v>
      </c>
      <c r="J112" s="2" t="s">
        <v>6</v>
      </c>
    </row>
    <row r="113" spans="3:10" x14ac:dyDescent="0.25">
      <c r="C113">
        <v>1</v>
      </c>
      <c r="D113">
        <v>1</v>
      </c>
      <c r="E113">
        <v>2</v>
      </c>
      <c r="F113">
        <f t="shared" ref="F113:F114" si="103">+(D113+E113)/2</f>
        <v>1.5</v>
      </c>
      <c r="G113">
        <f>+D113^3-D113^2*EXP(-0.5*D113)-3*D113+1</f>
        <v>-1.6065306597126332</v>
      </c>
      <c r="H113">
        <f t="shared" ref="H113" si="104">+E113^3-E113^2*EXP(-0.5*E113)-3*E113+1</f>
        <v>1.5284822353142307</v>
      </c>
      <c r="I113">
        <f t="shared" ref="I113" si="105">+F113^3-F113^2*EXP(-0.5*F113)-3*F113+1</f>
        <v>-1.1878247436672833</v>
      </c>
      <c r="J113">
        <v>5.0000000000000001E-4</v>
      </c>
    </row>
    <row r="114" spans="3:10" x14ac:dyDescent="0.25">
      <c r="C114">
        <v>2</v>
      </c>
      <c r="D114">
        <v>1.5</v>
      </c>
      <c r="E114">
        <v>2</v>
      </c>
      <c r="F114">
        <f t="shared" si="103"/>
        <v>1.75</v>
      </c>
      <c r="G114">
        <f t="shared" ref="G114" si="106">+D114^3-D114^2*EXP(-0.5*D114)-3*D114+1</f>
        <v>-1.1878247436672833</v>
      </c>
      <c r="H114">
        <f t="shared" ref="H114" si="107">+E114^3-E114^2*EXP(-0.5*E114)-3*E114+1</f>
        <v>1.5284822353142307</v>
      </c>
      <c r="I114">
        <f t="shared" ref="I114" si="108">+F114^3-F114^2*EXP(-0.5*F114)-3*F114+1</f>
        <v>-0.16726493526543162</v>
      </c>
    </row>
    <row r="115" spans="3:10" x14ac:dyDescent="0.25">
      <c r="C115">
        <v>3</v>
      </c>
      <c r="D115">
        <v>1.75</v>
      </c>
      <c r="E115">
        <v>2</v>
      </c>
      <c r="F115">
        <f t="shared" ref="F115" si="109">+(D115+E115)/2</f>
        <v>1.875</v>
      </c>
      <c r="G115">
        <f t="shared" ref="G115" si="110">+D115^3-D115^2*EXP(-0.5*D115)-3*D115+1</f>
        <v>-0.16726493526543162</v>
      </c>
      <c r="H115">
        <f t="shared" ref="H115" si="111">+E115^3-E115^2*EXP(-0.5*E115)-3*E115+1</f>
        <v>1.5284822353142307</v>
      </c>
      <c r="I115">
        <f t="shared" ref="I115" si="112">+F115^3-F115^2*EXP(-0.5*F115)-3*F115+1</f>
        <v>0.59005834371437871</v>
      </c>
    </row>
    <row r="116" spans="3:10" x14ac:dyDescent="0.25">
      <c r="C116">
        <v>4</v>
      </c>
      <c r="D116">
        <v>1.75</v>
      </c>
      <c r="E116">
        <v>1.875</v>
      </c>
      <c r="F116">
        <f t="shared" ref="F116" si="113">+(D116+E116)/2</f>
        <v>1.8125</v>
      </c>
      <c r="G116">
        <f t="shared" ref="G116" si="114">+D116^3-D116^2*EXP(-0.5*D116)-3*D116+1</f>
        <v>-0.16726493526543162</v>
      </c>
      <c r="H116">
        <f t="shared" ref="H116" si="115">+E116^3-E116^2*EXP(-0.5*E116)-3*E116+1</f>
        <v>0.59005834371437871</v>
      </c>
      <c r="I116">
        <f t="shared" ref="I116" si="116">+F116^3-F116^2*EXP(-0.5*F116)-3*F116+1</f>
        <v>0.18952259218409928</v>
      </c>
    </row>
    <row r="117" spans="3:10" x14ac:dyDescent="0.25">
      <c r="C117">
        <v>5</v>
      </c>
      <c r="D117">
        <v>1.75</v>
      </c>
      <c r="E117">
        <v>1.8125</v>
      </c>
      <c r="F117">
        <f t="shared" ref="F117" si="117">+(D117+E117)/2</f>
        <v>1.78125</v>
      </c>
      <c r="G117">
        <f t="shared" ref="G117" si="118">+D117^3-D117^2*EXP(-0.5*D117)-3*D117+1</f>
        <v>-0.16726493526543162</v>
      </c>
      <c r="H117">
        <f t="shared" ref="H117" si="119">+E117^3-E117^2*EXP(-0.5*E117)-3*E117+1</f>
        <v>0.18952259218409928</v>
      </c>
      <c r="I117">
        <f t="shared" ref="I117" si="120">+F117^3-F117^2*EXP(-0.5*F117)-3*F117+1</f>
        <v>5.7561880955994127E-3</v>
      </c>
    </row>
    <row r="118" spans="3:10" x14ac:dyDescent="0.25">
      <c r="C118">
        <v>6</v>
      </c>
      <c r="D118">
        <v>1.75</v>
      </c>
      <c r="E118">
        <v>1.78125</v>
      </c>
      <c r="F118">
        <f t="shared" ref="F118" si="121">+(D118+E118)/2</f>
        <v>1.765625</v>
      </c>
      <c r="G118">
        <f t="shared" ref="G118" si="122">+D118^3-D118^2*EXP(-0.5*D118)-3*D118+1</f>
        <v>-0.16726493526543162</v>
      </c>
      <c r="H118">
        <f t="shared" ref="H118" si="123">+E118^3-E118^2*EXP(-0.5*E118)-3*E118+1</f>
        <v>5.7561880955994127E-3</v>
      </c>
      <c r="I118">
        <f t="shared" ref="I118" si="124">+F118^3-F118^2*EXP(-0.5*F118)-3*F118+1</f>
        <v>-8.2085517878812908E-2</v>
      </c>
    </row>
    <row r="119" spans="3:10" x14ac:dyDescent="0.25">
      <c r="C119">
        <v>7</v>
      </c>
      <c r="D119">
        <v>1.765625</v>
      </c>
      <c r="E119">
        <v>1.78125</v>
      </c>
      <c r="F119">
        <f t="shared" ref="F119" si="125">+(D119+E119)/2</f>
        <v>1.7734375</v>
      </c>
      <c r="G119">
        <f t="shared" ref="G119" si="126">+D119^3-D119^2*EXP(-0.5*D119)-3*D119+1</f>
        <v>-8.2085517878812908E-2</v>
      </c>
      <c r="H119">
        <f t="shared" ref="H119" si="127">+E119^3-E119^2*EXP(-0.5*E119)-3*E119+1</f>
        <v>5.7561880955994127E-3</v>
      </c>
      <c r="I119">
        <f t="shared" ref="I119" si="128">+F119^3-F119^2*EXP(-0.5*F119)-3*F119+1</f>
        <v>-3.8498954300466792E-2</v>
      </c>
    </row>
    <row r="120" spans="3:10" x14ac:dyDescent="0.25">
      <c r="C120">
        <v>8</v>
      </c>
      <c r="D120">
        <v>1.7734375</v>
      </c>
      <c r="E120">
        <v>1.78125</v>
      </c>
      <c r="F120">
        <f t="shared" ref="F120" si="129">+(D120+E120)/2</f>
        <v>1.77734375</v>
      </c>
      <c r="G120">
        <f t="shared" ref="G120" si="130">+D120^3-D120^2*EXP(-0.5*D120)-3*D120+1</f>
        <v>-3.8498954300466792E-2</v>
      </c>
      <c r="H120">
        <f t="shared" ref="H120" si="131">+E120^3-E120^2*EXP(-0.5*E120)-3*E120+1</f>
        <v>5.7561880955994127E-3</v>
      </c>
      <c r="I120">
        <f t="shared" ref="I120" si="132">+F120^3-F120^2*EXP(-0.5*F120)-3*F120+1</f>
        <v>-1.6455143251628002E-2</v>
      </c>
    </row>
    <row r="121" spans="3:10" x14ac:dyDescent="0.25">
      <c r="C121">
        <v>9</v>
      </c>
      <c r="D121">
        <v>1.77734375</v>
      </c>
      <c r="E121">
        <v>1.78125</v>
      </c>
      <c r="F121">
        <f t="shared" ref="F121" si="133">+(D121+E121)/2</f>
        <v>1.779296875</v>
      </c>
      <c r="G121">
        <f t="shared" ref="G121" si="134">+D121^3-D121^2*EXP(-0.5*D121)-3*D121+1</f>
        <v>-1.6455143251628002E-2</v>
      </c>
      <c r="H121">
        <f t="shared" ref="H121" si="135">+E121^3-E121^2*EXP(-0.5*E121)-3*E121+1</f>
        <v>5.7561880955994127E-3</v>
      </c>
      <c r="I121">
        <f t="shared" ref="I121" si="136">+F121^3-F121^2*EXP(-0.5*F121)-3*F121+1</f>
        <v>-5.3704410824852999E-3</v>
      </c>
    </row>
    <row r="122" spans="3:10" x14ac:dyDescent="0.25">
      <c r="C122">
        <v>10</v>
      </c>
      <c r="D122">
        <v>1.779296875</v>
      </c>
      <c r="E122">
        <v>1.78125</v>
      </c>
      <c r="F122" s="3">
        <f t="shared" ref="F122" si="137">+(D122+E122)/2</f>
        <v>1.7802734375</v>
      </c>
      <c r="G122">
        <f t="shared" ref="G122" si="138">+D122^3-D122^2*EXP(-0.5*D122)-3*D122+1</f>
        <v>-5.3704410824852999E-3</v>
      </c>
      <c r="H122">
        <f t="shared" ref="H122" si="139">+E122^3-E122^2*EXP(-0.5*E122)-3*E122+1</f>
        <v>5.7561880955994127E-3</v>
      </c>
      <c r="I122" s="3">
        <f t="shared" ref="I122" si="140">+F122^3-F122^2*EXP(-0.5*F122)-3*F122+1</f>
        <v>1.8762969750696357E-4</v>
      </c>
    </row>
    <row r="130" spans="3:10" x14ac:dyDescent="0.25">
      <c r="C130" s="3" t="s">
        <v>9</v>
      </c>
    </row>
    <row r="132" spans="3:10" ht="18.75" x14ac:dyDescent="0.3">
      <c r="C132" s="1" t="s">
        <v>1</v>
      </c>
      <c r="D132" s="1" t="s">
        <v>2</v>
      </c>
      <c r="E132" s="1" t="s">
        <v>3</v>
      </c>
      <c r="F132" s="1" t="s">
        <v>7</v>
      </c>
      <c r="G132" s="1" t="s">
        <v>4</v>
      </c>
      <c r="H132" s="1" t="s">
        <v>5</v>
      </c>
      <c r="I132" s="1" t="s">
        <v>8</v>
      </c>
      <c r="J132" s="2" t="s">
        <v>6</v>
      </c>
    </row>
    <row r="133" spans="3:10" x14ac:dyDescent="0.25">
      <c r="C133">
        <v>1</v>
      </c>
      <c r="D133">
        <v>3</v>
      </c>
      <c r="E133">
        <v>4</v>
      </c>
      <c r="F133">
        <f t="shared" ref="F133" si="141">+(D133+E133)/2</f>
        <v>3.5</v>
      </c>
      <c r="G133">
        <f t="shared" ref="G133:G145" si="142">+COS(D133)^2-0.5*D133*EXP(0.3*D133)+5</f>
        <v>2.2906804765897588</v>
      </c>
      <c r="H133">
        <f t="shared" ref="H133:I133" si="143">+COS(E133)^2-0.5*E133*EXP(0.3*E133)+5</f>
        <v>-1.212983862377401</v>
      </c>
      <c r="I133">
        <f t="shared" si="143"/>
        <v>0.87606167056111595</v>
      </c>
      <c r="J133">
        <v>5.0000000000000001E-4</v>
      </c>
    </row>
    <row r="134" spans="3:10" x14ac:dyDescent="0.25">
      <c r="C134">
        <v>2</v>
      </c>
      <c r="D134">
        <v>3.5</v>
      </c>
      <c r="E134">
        <v>4</v>
      </c>
      <c r="F134">
        <f t="shared" ref="F134" si="144">+(D134+E134)/2</f>
        <v>3.75</v>
      </c>
      <c r="G134">
        <f t="shared" si="142"/>
        <v>0.87606167056111595</v>
      </c>
      <c r="H134">
        <f t="shared" ref="H134" si="145">+COS(E134)^2-0.5*E134*EXP(0.3*E134)+5</f>
        <v>-1.212983862377401</v>
      </c>
      <c r="I134">
        <f t="shared" ref="I134" si="146">+COS(F134)^2-0.5*F134*EXP(0.3*F134)+5</f>
        <v>-0.10208893280379527</v>
      </c>
    </row>
    <row r="135" spans="3:10" x14ac:dyDescent="0.25">
      <c r="C135">
        <v>3</v>
      </c>
      <c r="D135">
        <v>3.5</v>
      </c>
      <c r="E135">
        <v>3.75</v>
      </c>
      <c r="F135">
        <f t="shared" ref="F135" si="147">+(D135+E135)/2</f>
        <v>3.625</v>
      </c>
      <c r="G135">
        <f t="shared" si="142"/>
        <v>0.87606167056111595</v>
      </c>
      <c r="H135">
        <f t="shared" ref="H135" si="148">+COS(E135)^2-0.5*E135*EXP(0.3*E135)+5</f>
        <v>-0.10208893280379527</v>
      </c>
      <c r="I135">
        <f t="shared" ref="I135" si="149">+COS(F135)^2-0.5*F135*EXP(0.3*F135)+5</f>
        <v>0.40655067707081294</v>
      </c>
    </row>
    <row r="136" spans="3:10" x14ac:dyDescent="0.25">
      <c r="C136">
        <v>4</v>
      </c>
      <c r="D136">
        <v>3.625</v>
      </c>
      <c r="E136">
        <v>3.75</v>
      </c>
      <c r="F136">
        <f t="shared" ref="F136" si="150">+(D136+E136)/2</f>
        <v>3.6875</v>
      </c>
      <c r="G136">
        <f t="shared" si="142"/>
        <v>0.40655067707081294</v>
      </c>
      <c r="H136">
        <f t="shared" ref="H136" si="151">+COS(E136)^2-0.5*E136*EXP(0.3*E136)+5</f>
        <v>-0.10208893280379527</v>
      </c>
      <c r="I136">
        <f t="shared" ref="I136" si="152">+COS(F136)^2-0.5*F136*EXP(0.3*F136)+5</f>
        <v>0.15677999132921183</v>
      </c>
    </row>
    <row r="137" spans="3:10" x14ac:dyDescent="0.25">
      <c r="C137">
        <v>5</v>
      </c>
      <c r="D137">
        <v>3.6875</v>
      </c>
      <c r="E137">
        <v>3.75</v>
      </c>
      <c r="F137">
        <f t="shared" ref="F137" si="153">+(D137+E137)/2</f>
        <v>3.71875</v>
      </c>
      <c r="G137">
        <f t="shared" si="142"/>
        <v>0.15677999132921183</v>
      </c>
      <c r="H137">
        <f t="shared" ref="H137" si="154">+COS(E137)^2-0.5*E137*EXP(0.3*E137)+5</f>
        <v>-0.10208893280379527</v>
      </c>
      <c r="I137">
        <f t="shared" ref="I137" si="155">+COS(F137)^2-0.5*F137*EXP(0.3*F137)+5</f>
        <v>2.8436804737782317E-2</v>
      </c>
    </row>
    <row r="138" spans="3:10" x14ac:dyDescent="0.25">
      <c r="C138">
        <v>6</v>
      </c>
      <c r="D138">
        <v>3.71875</v>
      </c>
      <c r="E138">
        <v>3.75</v>
      </c>
      <c r="F138">
        <f t="shared" ref="F138" si="156">+(D138+E138)/2</f>
        <v>3.734375</v>
      </c>
      <c r="G138">
        <f t="shared" si="142"/>
        <v>2.8436804737782317E-2</v>
      </c>
      <c r="H138">
        <f t="shared" ref="H138" si="157">+COS(E138)^2-0.5*E138*EXP(0.3*E138)+5</f>
        <v>-0.10208893280379527</v>
      </c>
      <c r="I138">
        <f t="shared" ref="I138" si="158">+COS(F138)^2-0.5*F138*EXP(0.3*F138)+5</f>
        <v>-3.6559165284978157E-2</v>
      </c>
    </row>
    <row r="139" spans="3:10" x14ac:dyDescent="0.25">
      <c r="C139">
        <v>7</v>
      </c>
      <c r="D139">
        <v>3.71875</v>
      </c>
      <c r="E139">
        <v>3.734375</v>
      </c>
      <c r="F139">
        <f t="shared" ref="F139" si="159">+(D139+E139)/2</f>
        <v>3.7265625</v>
      </c>
      <c r="G139">
        <f t="shared" si="142"/>
        <v>2.8436804737782317E-2</v>
      </c>
      <c r="H139">
        <f t="shared" ref="H139" si="160">+COS(E139)^2-0.5*E139*EXP(0.3*E139)+5</f>
        <v>-3.6559165284978157E-2</v>
      </c>
      <c r="I139">
        <f t="shared" ref="I139" si="161">+COS(F139)^2-0.5*F139*EXP(0.3*F139)+5</f>
        <v>-3.9937086888297557E-3</v>
      </c>
    </row>
    <row r="140" spans="3:10" x14ac:dyDescent="0.25">
      <c r="C140">
        <v>8</v>
      </c>
      <c r="D140">
        <v>3.71875</v>
      </c>
      <c r="E140">
        <v>3.7265625</v>
      </c>
      <c r="F140">
        <f t="shared" ref="F140" si="162">+(D140+E140)/2</f>
        <v>3.72265625</v>
      </c>
      <c r="G140">
        <f t="shared" si="142"/>
        <v>2.8436804737782317E-2</v>
      </c>
      <c r="H140">
        <f t="shared" ref="H140" si="163">+COS(E140)^2-0.5*E140*EXP(0.3*E140)+5</f>
        <v>-3.9937086888297557E-3</v>
      </c>
      <c r="I140">
        <f t="shared" ref="I140" si="164">+COS(F140)^2-0.5*F140*EXP(0.3*F140)+5</f>
        <v>1.2238508701804207E-2</v>
      </c>
    </row>
    <row r="141" spans="3:10" x14ac:dyDescent="0.25">
      <c r="C141">
        <v>9</v>
      </c>
      <c r="D141">
        <v>3.72265625</v>
      </c>
      <c r="E141">
        <v>3.7265625</v>
      </c>
      <c r="F141">
        <f t="shared" ref="F141" si="165">+(D141+E141)/2</f>
        <v>3.724609375</v>
      </c>
      <c r="G141">
        <f t="shared" si="142"/>
        <v>1.2238508701804207E-2</v>
      </c>
      <c r="H141">
        <f t="shared" ref="H141" si="166">+COS(E141)^2-0.5*E141*EXP(0.3*E141)+5</f>
        <v>-3.9937086888297557E-3</v>
      </c>
      <c r="I141">
        <f t="shared" ref="I141" si="167">+COS(F141)^2-0.5*F141*EXP(0.3*F141)+5</f>
        <v>4.1266286048040612E-3</v>
      </c>
    </row>
    <row r="142" spans="3:10" x14ac:dyDescent="0.25">
      <c r="C142">
        <v>10</v>
      </c>
      <c r="D142">
        <v>3.724609375</v>
      </c>
      <c r="E142">
        <v>3.7265625</v>
      </c>
      <c r="F142">
        <f t="shared" ref="F142" si="168">+(D142+E142)/2</f>
        <v>3.7255859375</v>
      </c>
      <c r="G142">
        <f t="shared" si="142"/>
        <v>4.1266286048040612E-3</v>
      </c>
      <c r="H142">
        <f t="shared" ref="H142" si="169">+COS(E142)^2-0.5*E142*EXP(0.3*E142)+5</f>
        <v>-3.9937086888297557E-3</v>
      </c>
      <c r="I142">
        <f t="shared" ref="I142" si="170">+COS(F142)^2-0.5*F142*EXP(0.3*F142)+5</f>
        <v>6.7515658837891124E-5</v>
      </c>
    </row>
    <row r="143" spans="3:10" x14ac:dyDescent="0.25">
      <c r="C143">
        <v>11</v>
      </c>
      <c r="D143">
        <v>3.7255859375</v>
      </c>
      <c r="E143">
        <v>3.7265625</v>
      </c>
      <c r="F143">
        <f t="shared" ref="F143" si="171">+(D143+E143)/2</f>
        <v>3.72607421875</v>
      </c>
      <c r="G143">
        <f t="shared" si="142"/>
        <v>6.7515658837891124E-5</v>
      </c>
      <c r="H143">
        <f t="shared" ref="H143" si="172">+COS(E143)^2-0.5*E143*EXP(0.3*E143)+5</f>
        <v>-3.9937086888297557E-3</v>
      </c>
      <c r="I143">
        <f t="shared" ref="I143" si="173">+COS(F143)^2-0.5*F143*EXP(0.3*F143)+5</f>
        <v>-1.9628327710181637E-3</v>
      </c>
    </row>
    <row r="144" spans="3:10" x14ac:dyDescent="0.25">
      <c r="C144">
        <v>12</v>
      </c>
      <c r="D144">
        <v>3.7255859375</v>
      </c>
      <c r="E144">
        <v>3.72607421875</v>
      </c>
      <c r="F144">
        <f t="shared" ref="F144" si="174">+(D144+E144)/2</f>
        <v>3.725830078125</v>
      </c>
      <c r="G144">
        <f t="shared" si="142"/>
        <v>6.7515658837891124E-5</v>
      </c>
      <c r="H144">
        <f t="shared" ref="H144" si="175">+COS(E144)^2-0.5*E144*EXP(0.3*E144)+5</f>
        <v>-1.9628327710181637E-3</v>
      </c>
      <c r="I144">
        <f t="shared" ref="I144" si="176">+COS(F144)^2-0.5*F144*EXP(0.3*F144)+5</f>
        <v>-9.47592597435154E-4</v>
      </c>
    </row>
    <row r="145" spans="3:9" x14ac:dyDescent="0.25">
      <c r="C145">
        <v>13</v>
      </c>
      <c r="D145">
        <v>3.7255859375</v>
      </c>
      <c r="E145">
        <v>3.725830078125</v>
      </c>
      <c r="F145" s="3">
        <f t="shared" ref="F145" si="177">+(D145+E145)/2</f>
        <v>3.7257080078125</v>
      </c>
      <c r="G145">
        <f t="shared" si="142"/>
        <v>6.7515658837891124E-5</v>
      </c>
      <c r="H145">
        <f t="shared" ref="H145" si="178">+COS(E145)^2-0.5*E145*EXP(0.3*E145)+5</f>
        <v>-9.47592597435154E-4</v>
      </c>
      <c r="I145" s="3">
        <f t="shared" ref="I145" si="179">+COS(F145)^2-0.5*F145*EXP(0.3*F145)+5</f>
        <v>-4.4002197680192978E-4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BBBE-F22F-426C-A493-811DF418B2D8}">
  <dimension ref="B4:H89"/>
  <sheetViews>
    <sheetView topLeftCell="A58" workbookViewId="0">
      <selection activeCell="I44" sqref="I44"/>
    </sheetView>
  </sheetViews>
  <sheetFormatPr baseColWidth="10" defaultRowHeight="15" x14ac:dyDescent="0.25"/>
  <cols>
    <col min="4" max="4" width="11.85546875" bestFit="1" customWidth="1"/>
  </cols>
  <sheetData>
    <row r="4" spans="3:8" x14ac:dyDescent="0.25">
      <c r="C4" s="4" t="s">
        <v>15</v>
      </c>
    </row>
    <row r="5" spans="3:8" x14ac:dyDescent="0.25">
      <c r="C5" s="4"/>
    </row>
    <row r="13" spans="3:8" ht="18.75" x14ac:dyDescent="0.3">
      <c r="C13" s="6"/>
      <c r="D13" s="6"/>
      <c r="E13" s="6"/>
      <c r="F13" s="6"/>
      <c r="G13" s="6"/>
      <c r="H13" s="6"/>
    </row>
    <row r="16" spans="3:8" x14ac:dyDescent="0.25">
      <c r="C16" s="7" t="s">
        <v>16</v>
      </c>
      <c r="D16" s="7" t="s">
        <v>17</v>
      </c>
      <c r="E16" s="7" t="s">
        <v>18</v>
      </c>
    </row>
    <row r="17" spans="3:5" x14ac:dyDescent="0.25">
      <c r="C17">
        <v>3</v>
      </c>
      <c r="D17">
        <f>+C17^3-EXP(0.8*C17)-20</f>
        <v>-4.0231763806416048</v>
      </c>
      <c r="E17">
        <f>3*C17^2-0.8*EXP(0.8*C17)</f>
        <v>18.181458895486713</v>
      </c>
    </row>
    <row r="18" spans="3:5" x14ac:dyDescent="0.25">
      <c r="C18">
        <f>+C17-(D17/E17)</f>
        <v>3.2212790735753498</v>
      </c>
      <c r="D18">
        <f>+C18^3-EXP(0.8*C18)-20</f>
        <v>0.26813753807199703</v>
      </c>
      <c r="E18">
        <f>3*C18^2-0.8*EXP(0.8*C18)</f>
        <v>20.603586923612387</v>
      </c>
    </row>
    <row r="19" spans="3:5" x14ac:dyDescent="0.25">
      <c r="C19">
        <f t="shared" ref="C19:C21" si="0">+C18-(D18/E18)</f>
        <v>3.2082649542831065</v>
      </c>
      <c r="D19">
        <f t="shared" ref="D19:D21" si="1">+C19^3-EXP(0.8*C19)-20</f>
        <v>9.2387586991549142E-4</v>
      </c>
      <c r="E19">
        <f t="shared" ref="E19:E21" si="2">3*C19^2-0.8*EXP(0.8*C19)</f>
        <v>20.461586566493899</v>
      </c>
    </row>
    <row r="20" spans="3:5" x14ac:dyDescent="0.25">
      <c r="C20">
        <f t="shared" si="0"/>
        <v>3.2082198025610289</v>
      </c>
      <c r="D20">
        <f t="shared" si="1"/>
        <v>1.1126843446618295E-8</v>
      </c>
      <c r="E20">
        <f t="shared" si="2"/>
        <v>20.461093701114216</v>
      </c>
    </row>
    <row r="21" spans="3:5" x14ac:dyDescent="0.25">
      <c r="C21" s="8">
        <f t="shared" si="0"/>
        <v>3.2082198020172239</v>
      </c>
      <c r="D21">
        <f t="shared" si="1"/>
        <v>0</v>
      </c>
      <c r="E21">
        <f t="shared" si="2"/>
        <v>20.46109369517816</v>
      </c>
    </row>
    <row r="24" spans="3:5" x14ac:dyDescent="0.25">
      <c r="C24" s="7" t="s">
        <v>16</v>
      </c>
      <c r="D24" s="7" t="s">
        <v>17</v>
      </c>
      <c r="E24" s="7" t="s">
        <v>18</v>
      </c>
    </row>
    <row r="25" spans="3:5" x14ac:dyDescent="0.25">
      <c r="C25">
        <v>7</v>
      </c>
      <c r="D25">
        <f>+C25^3-EXP(0.8*C25)-20</f>
        <v>52.573592573847236</v>
      </c>
      <c r="E25">
        <f>3*C25^2-0.8*EXP(0.8*C25)</f>
        <v>-69.341125940922211</v>
      </c>
    </row>
    <row r="26" spans="3:5" x14ac:dyDescent="0.25">
      <c r="C26">
        <f>+C25-(D25/E25)</f>
        <v>7.7581877545316944</v>
      </c>
      <c r="D26">
        <f>+C26^3-EXP(0.8*C26)-20</f>
        <v>-49.025976273836591</v>
      </c>
      <c r="E26">
        <f>3*C26^2-0.8*EXP(0.8*C26)</f>
        <v>-216.22136150166909</v>
      </c>
    </row>
    <row r="27" spans="3:5" x14ac:dyDescent="0.25">
      <c r="C27">
        <f t="shared" ref="C27:C31" si="3">+C26-(D26/E26)</f>
        <v>7.5314480099784804</v>
      </c>
      <c r="D27">
        <f t="shared" ref="D27:D31" si="4">+C27^3-EXP(0.8*C27)-20</f>
        <v>-6.5030365759858455</v>
      </c>
      <c r="E27">
        <f t="shared" ref="E27:E31" si="5">3*C27^2-0.8*EXP(0.8*C27)</f>
        <v>-160.79760969992125</v>
      </c>
    </row>
    <row r="28" spans="3:5" x14ac:dyDescent="0.25">
      <c r="C28">
        <f t="shared" si="3"/>
        <v>7.4910056390494493</v>
      </c>
      <c r="D28">
        <f t="shared" si="4"/>
        <v>-0.17732383498918125</v>
      </c>
      <c r="E28">
        <f t="shared" si="5"/>
        <v>-152.08357947827099</v>
      </c>
    </row>
    <row r="29" spans="3:5" x14ac:dyDescent="0.25">
      <c r="C29" s="8">
        <f t="shared" si="3"/>
        <v>7.4898396759941512</v>
      </c>
      <c r="D29">
        <f t="shared" si="4"/>
        <v>-1.4364149870971232E-4</v>
      </c>
      <c r="E29">
        <f t="shared" si="5"/>
        <v>-151.83723339633323</v>
      </c>
    </row>
    <row r="30" spans="3:5" x14ac:dyDescent="0.25">
      <c r="C30">
        <f t="shared" si="3"/>
        <v>7.4898387299712592</v>
      </c>
      <c r="D30">
        <f t="shared" si="4"/>
        <v>-9.4530605565523729E-11</v>
      </c>
      <c r="E30">
        <f t="shared" si="5"/>
        <v>-151.83703362928554</v>
      </c>
    </row>
    <row r="31" spans="3:5" x14ac:dyDescent="0.25">
      <c r="C31">
        <f t="shared" si="3"/>
        <v>7.4898387299706366</v>
      </c>
      <c r="D31">
        <f t="shared" si="4"/>
        <v>5.6843418860808015E-14</v>
      </c>
      <c r="E31">
        <f t="shared" si="5"/>
        <v>-151.83703362915406</v>
      </c>
    </row>
    <row r="42" spans="3:5" x14ac:dyDescent="0.25">
      <c r="C42" s="7" t="s">
        <v>16</v>
      </c>
      <c r="D42" s="7" t="s">
        <v>17</v>
      </c>
      <c r="E42" s="7" t="s">
        <v>18</v>
      </c>
    </row>
    <row r="43" spans="3:5" x14ac:dyDescent="0.25">
      <c r="C43">
        <v>5</v>
      </c>
      <c r="D43">
        <f>3*SIN(0.5*C43)-0.5*C43+2</f>
        <v>1.2954164323118698</v>
      </c>
      <c r="E43">
        <f>1.5*COS(0.5*C43)-0.5</f>
        <v>-1.7017154233204006</v>
      </c>
    </row>
    <row r="44" spans="3:5" x14ac:dyDescent="0.25">
      <c r="C44">
        <f>+C43-(D43/E43)</f>
        <v>5.7612415181524552</v>
      </c>
      <c r="D44">
        <f>+C44^3-EXP(0.8*C44)-20</f>
        <v>70.84353985180816</v>
      </c>
      <c r="E44">
        <f>3*C44^2-0.8*EXP(0.8*C44)</f>
        <v>19.269283841132818</v>
      </c>
    </row>
    <row r="45" spans="3:5" x14ac:dyDescent="0.25">
      <c r="C45">
        <f t="shared" ref="C45:C48" si="6">+C44-(D44/E44)</f>
        <v>2.0847405938895971</v>
      </c>
      <c r="D45">
        <f t="shared" ref="D45:D51" si="7">+C45^3-EXP(0.8*C45)-20</f>
        <v>-16.239872532870727</v>
      </c>
      <c r="E45">
        <f t="shared" ref="E45:E48" si="8">3*C45^2-0.8*EXP(0.8*C45)</f>
        <v>8.7980668405719253</v>
      </c>
    </row>
    <row r="46" spans="3:5" x14ac:dyDescent="0.25">
      <c r="C46">
        <f t="shared" si="6"/>
        <v>3.9305861446395891</v>
      </c>
      <c r="D46">
        <f t="shared" si="7"/>
        <v>17.518272744429467</v>
      </c>
      <c r="E46">
        <f t="shared" si="8"/>
        <v>27.78264460734486</v>
      </c>
    </row>
    <row r="47" spans="3:5" x14ac:dyDescent="0.25">
      <c r="C47">
        <f t="shared" si="6"/>
        <v>3.3000388014324495</v>
      </c>
      <c r="D47">
        <f t="shared" si="7"/>
        <v>1.9246290573196774</v>
      </c>
      <c r="E47">
        <f t="shared" si="8"/>
        <v>21.459857392572381</v>
      </c>
    </row>
    <row r="48" spans="3:5" x14ac:dyDescent="0.25">
      <c r="C48">
        <f t="shared" si="6"/>
        <v>3.2103537200215255</v>
      </c>
      <c r="D48">
        <f t="shared" si="7"/>
        <v>4.3687148209855309E-2</v>
      </c>
      <c r="E48">
        <f t="shared" si="8"/>
        <v>20.484385538055555</v>
      </c>
    </row>
    <row r="49" spans="2:5" x14ac:dyDescent="0.25">
      <c r="C49">
        <f t="shared" ref="C49:C51" si="9">+C48-(D48/E48)</f>
        <v>3.208221015180138</v>
      </c>
      <c r="D49">
        <f t="shared" si="7"/>
        <v>2.4822648086342269E-5</v>
      </c>
      <c r="E49">
        <f t="shared" ref="E49:E51" si="10">3*C49^2-0.8*EXP(0.8*C49)</f>
        <v>20.461106937791634</v>
      </c>
    </row>
    <row r="50" spans="2:5" x14ac:dyDescent="0.25">
      <c r="C50">
        <f t="shared" si="9"/>
        <v>3.2082198020176165</v>
      </c>
      <c r="D50">
        <f t="shared" si="7"/>
        <v>8.0362383414467331E-12</v>
      </c>
      <c r="E50">
        <f t="shared" si="10"/>
        <v>20.461093695182456</v>
      </c>
    </row>
    <row r="51" spans="2:5" x14ac:dyDescent="0.25">
      <c r="C51" s="8">
        <f t="shared" si="9"/>
        <v>3.2082198020172239</v>
      </c>
      <c r="D51">
        <f t="shared" si="7"/>
        <v>0</v>
      </c>
      <c r="E51">
        <f t="shared" si="10"/>
        <v>20.46109369517816</v>
      </c>
    </row>
    <row r="63" spans="2:5" x14ac:dyDescent="0.25">
      <c r="B63" s="7" t="s">
        <v>16</v>
      </c>
      <c r="C63" s="7" t="s">
        <v>17</v>
      </c>
      <c r="D63" s="7" t="s">
        <v>18</v>
      </c>
    </row>
    <row r="64" spans="2:5" x14ac:dyDescent="0.25">
      <c r="B64">
        <v>1</v>
      </c>
      <c r="C64">
        <f>+B64^3-B64^2*EXP(-0.5*B64)-3*B64+1</f>
        <v>-1.6065306597126332</v>
      </c>
      <c r="D64">
        <f>3*B64^2+2*B64*EXP(-0.5*B64)-0.5*B64^2*EXP(-0.5*B64)-3</f>
        <v>0.9097959895689498</v>
      </c>
    </row>
    <row r="65" spans="2:4" x14ac:dyDescent="0.25">
      <c r="B65">
        <f>+B64-(C64/D64)</f>
        <v>2.7658141804667524</v>
      </c>
      <c r="C65">
        <f>+B65^3-EXP(0.8*B65)-20</f>
        <v>-7.9821909619990183</v>
      </c>
      <c r="D65">
        <f>3*B65^2-0.8*EXP(0.8*B65)</f>
        <v>15.637250350783582</v>
      </c>
    </row>
    <row r="66" spans="2:4" x14ac:dyDescent="0.25">
      <c r="B66">
        <f t="shared" ref="B66:B70" si="11">+B65-(C65/D65)</f>
        <v>3.2762741899273689</v>
      </c>
      <c r="C66">
        <f t="shared" ref="C66:C70" si="12">+B66^3-EXP(0.8*B66)-20</f>
        <v>1.4177050183048223</v>
      </c>
      <c r="D66">
        <f t="shared" ref="D66:D70" si="13">3*B66^2-0.8*EXP(0.8*B66)</f>
        <v>21.202131894544848</v>
      </c>
    </row>
    <row r="67" spans="2:4" x14ac:dyDescent="0.25">
      <c r="B67">
        <f t="shared" si="11"/>
        <v>3.2094080358370065</v>
      </c>
      <c r="C67">
        <f t="shared" si="12"/>
        <v>2.4320269321012944E-2</v>
      </c>
      <c r="D67">
        <f t="shared" si="13"/>
        <v>20.474063716497</v>
      </c>
    </row>
    <row r="68" spans="2:4" x14ac:dyDescent="0.25">
      <c r="B68">
        <f t="shared" si="11"/>
        <v>3.2082201783770623</v>
      </c>
      <c r="C68">
        <f t="shared" si="12"/>
        <v>7.7007346916957431E-6</v>
      </c>
      <c r="D68">
        <f t="shared" si="13"/>
        <v>20.4610978034376</v>
      </c>
    </row>
    <row r="69" spans="2:4" x14ac:dyDescent="0.25">
      <c r="B69">
        <f t="shared" si="11"/>
        <v>3.2082198020172616</v>
      </c>
      <c r="C69">
        <f t="shared" si="12"/>
        <v>7.744915819785092E-13</v>
      </c>
      <c r="D69">
        <f t="shared" si="13"/>
        <v>20.461093695178576</v>
      </c>
    </row>
    <row r="70" spans="2:4" x14ac:dyDescent="0.25">
      <c r="B70" s="8">
        <f t="shared" si="11"/>
        <v>3.2082198020172239</v>
      </c>
      <c r="C70">
        <f t="shared" si="12"/>
        <v>0</v>
      </c>
      <c r="D70">
        <f t="shared" si="13"/>
        <v>20.46109369517816</v>
      </c>
    </row>
    <row r="82" spans="2:4" x14ac:dyDescent="0.25">
      <c r="B82" s="7" t="s">
        <v>16</v>
      </c>
      <c r="C82" s="7" t="s">
        <v>17</v>
      </c>
      <c r="D82" s="7" t="s">
        <v>18</v>
      </c>
    </row>
    <row r="83" spans="2:4" x14ac:dyDescent="0.25">
      <c r="B83">
        <v>3</v>
      </c>
      <c r="C83">
        <v>2.2906804765897588</v>
      </c>
      <c r="D83">
        <f>-SIN(2*B83)-0.5*EXP(0.3*B83)-0.15*B83*EXP(0.3*B83)</f>
        <v>-2.057207457400176</v>
      </c>
    </row>
    <row r="84" spans="2:4" x14ac:dyDescent="0.25">
      <c r="B84">
        <f>+B83-(C83/D83)</f>
        <v>4.1134902648489504</v>
      </c>
      <c r="C84">
        <f>+B84^3-EXP(0.8*B84)-20</f>
        <v>22.739417637642447</v>
      </c>
      <c r="D84">
        <f>3*B84^2-0.8*EXP(0.8*B84)</f>
        <v>29.271096623526613</v>
      </c>
    </row>
    <row r="85" spans="2:4" x14ac:dyDescent="0.25">
      <c r="B85">
        <f t="shared" ref="B85:B89" si="14">+B84-(C84/D84)</f>
        <v>3.3366345860164168</v>
      </c>
      <c r="C85">
        <f t="shared" ref="C85:C89" si="15">+B85^3-EXP(0.8*B85)-20</f>
        <v>2.717212400114871</v>
      </c>
      <c r="D85">
        <f t="shared" ref="D85:D89" si="16">3*B85^2-0.8*EXP(0.8*B85)</f>
        <v>21.855410752446303</v>
      </c>
    </row>
    <row r="86" spans="2:4" x14ac:dyDescent="0.25">
      <c r="B86">
        <f t="shared" si="14"/>
        <v>3.2123078263461267</v>
      </c>
      <c r="C86">
        <f t="shared" si="15"/>
        <v>8.3736653074957701E-2</v>
      </c>
      <c r="D86">
        <f t="shared" si="16"/>
        <v>20.505712017967831</v>
      </c>
    </row>
    <row r="87" spans="2:4" x14ac:dyDescent="0.25">
      <c r="B87">
        <f t="shared" si="14"/>
        <v>3.208224249389541</v>
      </c>
      <c r="C87">
        <f t="shared" si="15"/>
        <v>9.0998209628878612E-5</v>
      </c>
      <c r="D87">
        <f t="shared" si="16"/>
        <v>20.461142241689139</v>
      </c>
    </row>
    <row r="88" spans="2:4" x14ac:dyDescent="0.25">
      <c r="B88">
        <f t="shared" si="14"/>
        <v>3.2082198020224997</v>
      </c>
      <c r="C88">
        <f t="shared" si="15"/>
        <v>1.0794565241667442E-10</v>
      </c>
      <c r="D88">
        <f t="shared" si="16"/>
        <v>20.461093695235746</v>
      </c>
    </row>
    <row r="89" spans="2:4" x14ac:dyDescent="0.25">
      <c r="B89" s="8">
        <f t="shared" si="14"/>
        <v>3.2082198020172239</v>
      </c>
      <c r="C89">
        <f t="shared" si="15"/>
        <v>0</v>
      </c>
      <c r="D89">
        <f t="shared" si="16"/>
        <v>20.46109369517816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89CA-257B-453D-BE9C-4012F029C4F9}">
  <dimension ref="B2:F102"/>
  <sheetViews>
    <sheetView topLeftCell="A4" workbookViewId="0">
      <selection activeCell="H51" sqref="H51"/>
    </sheetView>
  </sheetViews>
  <sheetFormatPr baseColWidth="10" defaultRowHeight="15" x14ac:dyDescent="0.25"/>
  <sheetData>
    <row r="2" spans="2:6" x14ac:dyDescent="0.25">
      <c r="B2" s="4" t="s">
        <v>20</v>
      </c>
    </row>
    <row r="10" spans="2:6" x14ac:dyDescent="0.25">
      <c r="C10" s="3" t="s">
        <v>9</v>
      </c>
    </row>
    <row r="12" spans="2:6" x14ac:dyDescent="0.25">
      <c r="C12" s="9" t="s">
        <v>1</v>
      </c>
      <c r="D12" s="9" t="s">
        <v>19</v>
      </c>
      <c r="E12" s="9" t="s">
        <v>17</v>
      </c>
      <c r="F12" s="9" t="s">
        <v>6</v>
      </c>
    </row>
    <row r="13" spans="2:6" x14ac:dyDescent="0.25">
      <c r="C13">
        <v>0</v>
      </c>
      <c r="D13">
        <v>3</v>
      </c>
      <c r="E13">
        <f>+D13^3-EXP(0.8*D13)-20</f>
        <v>-4.0231763806416048</v>
      </c>
      <c r="F13" s="10">
        <v>5.0000000000000001E-4</v>
      </c>
    </row>
    <row r="14" spans="2:6" x14ac:dyDescent="0.25">
      <c r="C14">
        <v>1</v>
      </c>
      <c r="D14">
        <v>3.5</v>
      </c>
      <c r="E14">
        <f>+D14^3-EXP(0.8*D14)-20</f>
        <v>6.4303532289029448</v>
      </c>
    </row>
    <row r="15" spans="2:6" x14ac:dyDescent="0.25">
      <c r="C15">
        <v>2</v>
      </c>
      <c r="D15" s="12">
        <f>+D14-E14*((D14-D13)/(E14-E13))</f>
        <v>3.192431481562374</v>
      </c>
      <c r="E15">
        <f>+D15^3-EXP(0.8*D15)-20</f>
        <v>-0.32168538701967719</v>
      </c>
    </row>
    <row r="16" spans="2:6" x14ac:dyDescent="0.25">
      <c r="C16">
        <v>3</v>
      </c>
      <c r="D16" s="13">
        <f>+D15-E15*((D15-D14)/(E15-E14))</f>
        <v>3.2070848778944621</v>
      </c>
      <c r="E16">
        <f>+D16^3-EXP(0.8*D16)-20</f>
        <v>-2.3214758603273822E-2</v>
      </c>
    </row>
    <row r="17" spans="3:6" x14ac:dyDescent="0.25">
      <c r="C17">
        <v>4</v>
      </c>
      <c r="D17" s="13">
        <f t="shared" ref="D17:D19" si="0">+D16-E16*((D16-D15)/(E16-E15))</f>
        <v>3.2082246049770644</v>
      </c>
      <c r="E17">
        <f t="shared" ref="E17:E24" si="1">+D17^3-EXP(0.8*D17)-20</f>
        <v>9.8273937219062191E-5</v>
      </c>
    </row>
    <row r="18" spans="3:6" x14ac:dyDescent="0.25">
      <c r="C18">
        <v>5</v>
      </c>
      <c r="D18" s="13">
        <f t="shared" si="0"/>
        <v>3.2082198005627278</v>
      </c>
      <c r="E18">
        <f t="shared" si="1"/>
        <v>-2.9760585107396764E-8</v>
      </c>
    </row>
    <row r="19" spans="3:6" x14ac:dyDescent="0.25">
      <c r="C19">
        <v>6</v>
      </c>
      <c r="D19" s="13">
        <f t="shared" si="0"/>
        <v>3.2082198020172221</v>
      </c>
      <c r="E19">
        <f t="shared" si="1"/>
        <v>-3.5527136788005009E-14</v>
      </c>
    </row>
    <row r="20" spans="3:6" x14ac:dyDescent="0.25">
      <c r="C20">
        <v>7</v>
      </c>
      <c r="D20" s="13">
        <f t="shared" ref="D20" si="2">+D19-E19*((D19-D18)/(E19-E18))</f>
        <v>3.2082198020172239</v>
      </c>
      <c r="E20">
        <f t="shared" si="1"/>
        <v>0</v>
      </c>
    </row>
    <row r="23" spans="3:6" x14ac:dyDescent="0.25">
      <c r="C23" s="3" t="s">
        <v>10</v>
      </c>
    </row>
    <row r="25" spans="3:6" x14ac:dyDescent="0.25">
      <c r="C25" s="9" t="s">
        <v>1</v>
      </c>
      <c r="D25" s="9" t="s">
        <v>19</v>
      </c>
      <c r="E25" s="9" t="s">
        <v>17</v>
      </c>
      <c r="F25" s="9" t="s">
        <v>6</v>
      </c>
    </row>
    <row r="26" spans="3:6" x14ac:dyDescent="0.25">
      <c r="C26">
        <v>0</v>
      </c>
      <c r="D26">
        <v>7</v>
      </c>
      <c r="E26">
        <f>+D26^3-EXP(0.8*D26)-20</f>
        <v>52.573592573847236</v>
      </c>
      <c r="F26" s="10">
        <v>5.0000000000000001E-4</v>
      </c>
    </row>
    <row r="27" spans="3:6" x14ac:dyDescent="0.25">
      <c r="C27">
        <v>1</v>
      </c>
      <c r="D27">
        <v>7.5</v>
      </c>
      <c r="E27">
        <f>+D27^3-EXP(0.8*D27)-20</f>
        <v>-1.5537934927351102</v>
      </c>
    </row>
    <row r="28" spans="3:6" x14ac:dyDescent="0.25">
      <c r="C28">
        <v>2</v>
      </c>
      <c r="D28" s="12">
        <f>+D27-E27*((D27-D26)/(E27-E26))</f>
        <v>7.4856468822379139</v>
      </c>
      <c r="E28">
        <f>+D28^3-EXP(0.8*D28)-20</f>
        <v>0.63462491214266947</v>
      </c>
    </row>
    <row r="29" spans="3:6" x14ac:dyDescent="0.25">
      <c r="C29">
        <v>3</v>
      </c>
      <c r="D29" s="13">
        <f>+D28-E28*((D28-D27)/(E28-E27))</f>
        <v>7.4898091786609537</v>
      </c>
      <c r="E29">
        <f>+D29^3-EXP(0.8*D29)-20</f>
        <v>4.4868909998285744E-3</v>
      </c>
    </row>
    <row r="30" spans="3:6" x14ac:dyDescent="0.25">
      <c r="C30">
        <v>4</v>
      </c>
      <c r="D30" s="13">
        <f t="shared" ref="D30:D33" si="3">+D29-E29*((D29-D28)/(E29-E28))</f>
        <v>7.4898388162478513</v>
      </c>
      <c r="E30">
        <f t="shared" ref="E30:E36" si="4">+D30^3-EXP(0.8*D30)-20</f>
        <v>-1.3100076898808766E-5</v>
      </c>
    </row>
    <row r="31" spans="3:6" x14ac:dyDescent="0.25">
      <c r="C31">
        <v>5</v>
      </c>
      <c r="D31" s="13">
        <f t="shared" si="3"/>
        <v>7.4898387299688656</v>
      </c>
      <c r="E31">
        <f t="shared" si="4"/>
        <v>2.6892621463048272E-10</v>
      </c>
    </row>
    <row r="32" spans="3:6" x14ac:dyDescent="0.25">
      <c r="C32">
        <v>6</v>
      </c>
      <c r="D32" s="13">
        <f t="shared" si="3"/>
        <v>7.4898387299706366</v>
      </c>
      <c r="E32">
        <f t="shared" si="4"/>
        <v>5.6843418860808015E-14</v>
      </c>
    </row>
    <row r="33" spans="2:6" x14ac:dyDescent="0.25">
      <c r="C33">
        <v>7</v>
      </c>
      <c r="D33" s="13">
        <f t="shared" si="3"/>
        <v>7.4898387299706366</v>
      </c>
      <c r="E33">
        <f t="shared" si="4"/>
        <v>5.6843418860808015E-14</v>
      </c>
    </row>
    <row r="34" spans="2:6" x14ac:dyDescent="0.25">
      <c r="D34" s="13"/>
    </row>
    <row r="42" spans="2:6" x14ac:dyDescent="0.25">
      <c r="B42" s="3" t="s">
        <v>11</v>
      </c>
    </row>
    <row r="44" spans="2:6" x14ac:dyDescent="0.25">
      <c r="C44" s="9" t="s">
        <v>1</v>
      </c>
      <c r="D44" s="9" t="s">
        <v>19</v>
      </c>
      <c r="E44" s="9" t="s">
        <v>17</v>
      </c>
      <c r="F44" s="9" t="s">
        <v>6</v>
      </c>
    </row>
    <row r="45" spans="2:6" x14ac:dyDescent="0.25">
      <c r="C45">
        <v>0</v>
      </c>
      <c r="D45">
        <v>5</v>
      </c>
      <c r="E45">
        <f>3*SIN(0.5*D45)-0.5*D45+2</f>
        <v>1.2954164323118698</v>
      </c>
      <c r="F45" s="10">
        <v>5.0000000000000001E-4</v>
      </c>
    </row>
    <row r="46" spans="2:6" x14ac:dyDescent="0.25">
      <c r="C46">
        <v>1</v>
      </c>
      <c r="D46">
        <v>5.5</v>
      </c>
      <c r="E46">
        <f>+D46^3-EXP(0.8*D46)-20</f>
        <v>64.924131335031859</v>
      </c>
    </row>
    <row r="47" spans="2:6" x14ac:dyDescent="0.25">
      <c r="C47">
        <v>2</v>
      </c>
      <c r="D47" s="12">
        <f>+D46-E46*((D46-D45)/(E46-E45))</f>
        <v>4.9898205045136272</v>
      </c>
      <c r="E47">
        <f>+D47^3-EXP(0.8*D47)-20</f>
        <v>50.082760859926452</v>
      </c>
    </row>
    <row r="48" spans="2:6" x14ac:dyDescent="0.25">
      <c r="C48">
        <v>3</v>
      </c>
      <c r="D48" s="13">
        <f>+D47-E47*((D47-D46)/(E47-E46))</f>
        <v>3.2682006776289767</v>
      </c>
      <c r="E48">
        <f>+D48^3-EXP(0.8*D48)-20</f>
        <v>1.2468833008403308</v>
      </c>
    </row>
    <row r="49" spans="3:6" x14ac:dyDescent="0.25">
      <c r="C49">
        <v>4</v>
      </c>
      <c r="D49" s="13">
        <f t="shared" ref="D49:D52" si="5">+D48-E48*((D48-D47)/(E48-E47))</f>
        <v>3.2242440801471179</v>
      </c>
      <c r="E49">
        <f t="shared" ref="E49:E52" si="6">+D49^3-EXP(0.8*D49)-20</f>
        <v>0.32927524693080557</v>
      </c>
    </row>
    <row r="50" spans="3:6" x14ac:dyDescent="0.25">
      <c r="C50">
        <v>5</v>
      </c>
      <c r="D50" s="13">
        <f t="shared" si="5"/>
        <v>3.2084706576837791</v>
      </c>
      <c r="E50">
        <f t="shared" si="6"/>
        <v>5.1331247526391621E-3</v>
      </c>
    </row>
    <row r="51" spans="3:6" x14ac:dyDescent="0.25">
      <c r="C51">
        <v>6</v>
      </c>
      <c r="D51" s="13">
        <f t="shared" si="5"/>
        <v>3.2082208692738794</v>
      </c>
      <c r="E51">
        <f t="shared" si="6"/>
        <v>2.1837244641886855E-5</v>
      </c>
    </row>
    <row r="52" spans="3:6" x14ac:dyDescent="0.25">
      <c r="C52">
        <v>7</v>
      </c>
      <c r="D52" s="13">
        <f t="shared" si="5"/>
        <v>3.2082198020886334</v>
      </c>
      <c r="E52">
        <f>+D52^3-EXP(0.8*D52)-20</f>
        <v>1.4611138965392456E-9</v>
      </c>
    </row>
    <row r="53" spans="3:6" x14ac:dyDescent="0.25">
      <c r="D53" s="13">
        <f>+D52-E52*((D52-D51)/(E52-E51))</f>
        <v>3.2082198020172239</v>
      </c>
      <c r="E53">
        <f>+D53^3-EXP(0.8*D53)-20</f>
        <v>0</v>
      </c>
    </row>
    <row r="54" spans="3:6" x14ac:dyDescent="0.25">
      <c r="D54" s="13"/>
    </row>
    <row r="55" spans="3:6" x14ac:dyDescent="0.25">
      <c r="D55" s="13"/>
    </row>
    <row r="56" spans="3:6" x14ac:dyDescent="0.25">
      <c r="D56" s="13"/>
    </row>
    <row r="61" spans="3:6" x14ac:dyDescent="0.25">
      <c r="C61" s="3" t="s">
        <v>14</v>
      </c>
    </row>
    <row r="63" spans="3:6" x14ac:dyDescent="0.25">
      <c r="C63" s="9" t="s">
        <v>1</v>
      </c>
      <c r="D63" s="9" t="s">
        <v>19</v>
      </c>
      <c r="E63" s="9" t="s">
        <v>17</v>
      </c>
      <c r="F63" s="9" t="s">
        <v>6</v>
      </c>
    </row>
    <row r="64" spans="3:6" x14ac:dyDescent="0.25">
      <c r="C64">
        <v>0</v>
      </c>
      <c r="D64">
        <v>1</v>
      </c>
      <c r="E64">
        <f>+D64^3-D64^2*EXP(-0.5*D64)-3*D64+1</f>
        <v>-1.6065306597126332</v>
      </c>
      <c r="F64" s="10">
        <v>5.0000000000000001E-4</v>
      </c>
    </row>
    <row r="65" spans="3:5" x14ac:dyDescent="0.25">
      <c r="C65">
        <v>1</v>
      </c>
      <c r="D65">
        <v>1.5</v>
      </c>
      <c r="E65">
        <f>+D65^3-D65^2*EXP(-0.5*D65)-3*D65+1</f>
        <v>-1.1878247436672833</v>
      </c>
    </row>
    <row r="66" spans="3:5" x14ac:dyDescent="0.25">
      <c r="D66" s="11">
        <f>+D65-E65*((D65-D64)/(E65-E64))</f>
        <v>2.9184475286212943</v>
      </c>
      <c r="E66">
        <f>+D66^3-D66^2*EXP(-0.5*D66)-3*D66+1</f>
        <v>15.12248515261949</v>
      </c>
    </row>
    <row r="67" spans="3:5" x14ac:dyDescent="0.25">
      <c r="D67" s="14">
        <f t="shared" ref="D67:D69" si="7">+D66-E66*((D66-D65)/(E66-E65))</f>
        <v>1.6033007393975796</v>
      </c>
      <c r="E67">
        <f t="shared" ref="E67:E75" si="8">+D67^3-D67^2*EXP(-0.5*D67)-3*D67+1</f>
        <v>-0.84162856939297015</v>
      </c>
    </row>
    <row r="68" spans="3:5" x14ac:dyDescent="0.25">
      <c r="D68" s="14">
        <f t="shared" si="7"/>
        <v>1.6726353188192915</v>
      </c>
      <c r="E68">
        <f t="shared" si="8"/>
        <v>-0.55061533113166838</v>
      </c>
    </row>
    <row r="69" spans="3:5" x14ac:dyDescent="0.25">
      <c r="D69" s="14">
        <f t="shared" si="7"/>
        <v>1.8038206993719175</v>
      </c>
      <c r="E69">
        <f t="shared" si="8"/>
        <v>0.1373949395151417</v>
      </c>
    </row>
    <row r="70" spans="3:5" x14ac:dyDescent="0.25">
      <c r="D70" s="14">
        <f>+D69-E69*((D69-D68)/(E69-E68))</f>
        <v>1.7776231145461066</v>
      </c>
      <c r="E70">
        <f>+D70^3-D70^2*EXP(-0.5*D70)-3*D70+1</f>
        <v>-1.4872214619704671E-2</v>
      </c>
    </row>
    <row r="71" spans="3:5" x14ac:dyDescent="0.25">
      <c r="D71" s="14">
        <f t="shared" ref="D71:D72" si="9">+D70-E70*((D70-D69)/(E70-E69))</f>
        <v>1.780181881118327</v>
      </c>
      <c r="E71">
        <f t="shared" si="8"/>
        <v>-3.3390564058333183E-4</v>
      </c>
    </row>
    <row r="72" spans="3:5" x14ac:dyDescent="0.25">
      <c r="D72" s="14">
        <f t="shared" si="9"/>
        <v>1.780240649066692</v>
      </c>
      <c r="E72">
        <f t="shared" si="8"/>
        <v>8.4537542299756296E-7</v>
      </c>
    </row>
    <row r="73" spans="3:5" x14ac:dyDescent="0.25">
      <c r="D73" s="14">
        <f>+D72-E72*((D72-D71)/(E72-E71))</f>
        <v>1.7802405006549566</v>
      </c>
      <c r="E73">
        <f>+D73^3-D73^2*EXP(-0.5*D73)-3*D73+1</f>
        <v>-4.7834625149789645E-11</v>
      </c>
    </row>
    <row r="74" spans="3:5" x14ac:dyDescent="0.25">
      <c r="D74" s="14">
        <f t="shared" ref="D74:D75" si="10">+D73-E73*((D73-D72)/(E73-E72))</f>
        <v>1.7802405006633539</v>
      </c>
      <c r="E74">
        <f t="shared" si="8"/>
        <v>0</v>
      </c>
    </row>
    <row r="75" spans="3:5" x14ac:dyDescent="0.25">
      <c r="D75" s="14">
        <f t="shared" si="10"/>
        <v>1.7802405006633539</v>
      </c>
      <c r="E75">
        <f t="shared" si="8"/>
        <v>0</v>
      </c>
    </row>
    <row r="83" spans="2:6" x14ac:dyDescent="0.25">
      <c r="B83" s="3" t="s">
        <v>9</v>
      </c>
    </row>
    <row r="86" spans="2:6" x14ac:dyDescent="0.25">
      <c r="C86" s="9" t="s">
        <v>1</v>
      </c>
      <c r="D86" s="9" t="s">
        <v>19</v>
      </c>
      <c r="E86" s="9" t="s">
        <v>17</v>
      </c>
      <c r="F86" s="9" t="s">
        <v>6</v>
      </c>
    </row>
    <row r="87" spans="2:6" x14ac:dyDescent="0.25">
      <c r="C87">
        <v>0</v>
      </c>
      <c r="D87">
        <v>3</v>
      </c>
      <c r="E87">
        <f>+COS(D87)^2-0.5*D87*EXP(0.3*D87)+5</f>
        <v>2.2906804765897588</v>
      </c>
      <c r="F87" s="10">
        <v>5.0000000000000001E-4</v>
      </c>
    </row>
    <row r="88" spans="2:6" x14ac:dyDescent="0.25">
      <c r="C88">
        <v>1</v>
      </c>
      <c r="D88">
        <v>3.5</v>
      </c>
      <c r="E88">
        <f>+COS(D88)^2-0.5*D88*EXP(0.3*D88)+5</f>
        <v>0.87606167056111595</v>
      </c>
    </row>
    <row r="89" spans="2:6" x14ac:dyDescent="0.25">
      <c r="D89" s="11">
        <f>+D88-E88*((D88-D87)/(E88-E87))</f>
        <v>3.8096458448126191</v>
      </c>
      <c r="E89">
        <f>+D89^3-D89^2*EXP(-0.5*D89)-3*D89+1</f>
        <v>42.701676775854047</v>
      </c>
    </row>
    <row r="90" spans="2:6" x14ac:dyDescent="0.25">
      <c r="D90" s="14">
        <f t="shared" ref="D90:D92" si="11">+D89-E89*((D89-D88)/(E89-E88))</f>
        <v>3.4935142889015269</v>
      </c>
      <c r="E90">
        <f t="shared" ref="E90:E102" si="12">+D90^3-D90^2*EXP(-0.5*D90)-3*D90+1</f>
        <v>31.028811100646479</v>
      </c>
    </row>
    <row r="91" spans="2:6" x14ac:dyDescent="0.25">
      <c r="D91" s="14">
        <f t="shared" si="11"/>
        <v>2.653173398818911</v>
      </c>
      <c r="E91">
        <f t="shared" si="12"/>
        <v>9.8489324534223144</v>
      </c>
    </row>
    <row r="92" spans="2:6" x14ac:dyDescent="0.25">
      <c r="D92" s="14">
        <f t="shared" si="11"/>
        <v>2.2624034231204346</v>
      </c>
      <c r="E92">
        <f t="shared" si="12"/>
        <v>4.1413820507168042</v>
      </c>
    </row>
    <row r="93" spans="2:6" x14ac:dyDescent="0.25">
      <c r="D93" s="14">
        <f>+D92-E92*((D92-D91)/(E92-E91))</f>
        <v>1.9788618599045256</v>
      </c>
      <c r="E93">
        <f>+D93^3-D93^2*EXP(-0.5*D93)-3*D93+1</f>
        <v>1.3565449243522893</v>
      </c>
    </row>
    <row r="94" spans="2:6" x14ac:dyDescent="0.25">
      <c r="D94" s="14">
        <f t="shared" ref="D94:D96" si="13">+D93-E93*((D93-D92)/(E93-E92))</f>
        <v>1.8407435962610132</v>
      </c>
      <c r="E94">
        <f t="shared" si="12"/>
        <v>0.36501396728109725</v>
      </c>
    </row>
    <row r="95" spans="2:6" x14ac:dyDescent="0.25">
      <c r="D95" s="14">
        <f t="shared" si="13"/>
        <v>1.7898978863949166</v>
      </c>
      <c r="E95">
        <f t="shared" si="12"/>
        <v>5.5526773823325826E-2</v>
      </c>
    </row>
    <row r="96" spans="2:6" x14ac:dyDescent="0.25">
      <c r="D96" s="14">
        <f t="shared" si="13"/>
        <v>1.7807753821643615</v>
      </c>
      <c r="E96">
        <f t="shared" si="12"/>
        <v>3.0485101743771281E-3</v>
      </c>
    </row>
    <row r="97" spans="4:5" x14ac:dyDescent="0.25">
      <c r="D97" s="14">
        <f>+D96-E96*((D96-D95)/(E96-E95))</f>
        <v>1.7802454475775642</v>
      </c>
      <c r="E97">
        <f>+D97^3-D97^2*EXP(-0.5*D97)-3*D97+1</f>
        <v>2.8180087564777523E-5</v>
      </c>
    </row>
    <row r="98" spans="4:5" x14ac:dyDescent="0.25">
      <c r="D98" s="14">
        <f t="shared" ref="D98" si="14">+D97-E97*((D97-D96)/(E97-E96))</f>
        <v>1.7802405032163089</v>
      </c>
      <c r="E98">
        <f t="shared" si="12"/>
        <v>1.4542833604025418E-8</v>
      </c>
    </row>
    <row r="99" spans="4:5" x14ac:dyDescent="0.25">
      <c r="D99" s="14">
        <f>+D98-E98*((D98-D97)/(E98-E97))</f>
        <v>1.7802405006633661</v>
      </c>
      <c r="E99">
        <f>+D99^3-D99^2*EXP(-0.5*D99)-3*D99+1</f>
        <v>7.0166095156309893E-14</v>
      </c>
    </row>
    <row r="100" spans="4:5" x14ac:dyDescent="0.25">
      <c r="D100" s="14">
        <f t="shared" ref="D100:D102" si="15">+D99-E99*((D99-D98)/(E99-E98))</f>
        <v>1.7802405006633539</v>
      </c>
      <c r="E100">
        <f t="shared" si="12"/>
        <v>0</v>
      </c>
    </row>
    <row r="101" spans="4:5" x14ac:dyDescent="0.25">
      <c r="D101" s="14">
        <f t="shared" si="15"/>
        <v>1.7802405006633539</v>
      </c>
      <c r="E101">
        <f t="shared" si="12"/>
        <v>0</v>
      </c>
    </row>
    <row r="102" spans="4:5" x14ac:dyDescent="0.25">
      <c r="D102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BISECCION</vt:lpstr>
      <vt:lpstr>NEWTON</vt:lpstr>
      <vt:lpstr>SECANTE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Chambilla</dc:creator>
  <cp:lastModifiedBy>Alvaro Chambilla</cp:lastModifiedBy>
  <dcterms:created xsi:type="dcterms:W3CDTF">2025-11-16T02:30:39Z</dcterms:created>
  <dcterms:modified xsi:type="dcterms:W3CDTF">2025-11-30T04:33:04Z</dcterms:modified>
</cp:coreProperties>
</file>